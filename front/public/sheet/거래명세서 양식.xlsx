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NO1426\AX APP\sheet\"/>
    </mc:Choice>
  </mc:AlternateContent>
  <xr:revisionPtr revIDLastSave="0" documentId="13_ncr:1_{2C142C1D-94E7-43EC-8E1D-8A3E86A713D8}" xr6:coauthVersionLast="47" xr6:coauthVersionMax="47" xr10:uidLastSave="{00000000-0000-0000-0000-000000000000}"/>
  <bookViews>
    <workbookView xWindow="675" yWindow="900" windowWidth="23670" windowHeight="11805" tabRatio="858" xr2:uid="{00000000-000D-0000-FFFF-FFFF00000000}"/>
  </bookViews>
  <sheets>
    <sheet name="양식" sheetId="165" r:id="rId1"/>
  </sheets>
  <definedNames>
    <definedName name="_xlnm.Print_Area" localSheetId="0">양식!$A$1:$V$24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65" l="1"/>
  <c r="S9" i="165"/>
  <c r="G9" i="165"/>
  <c r="F22" i="165"/>
  <c r="N24" i="165"/>
  <c r="Q21" i="165"/>
  <c r="Q20" i="165"/>
  <c r="O20" i="165"/>
  <c r="N20" i="165"/>
  <c r="N19" i="165"/>
  <c r="N18" i="165"/>
  <c r="N17" i="165"/>
  <c r="R12" i="165"/>
  <c r="Q12" i="165"/>
  <c r="O12" i="165"/>
  <c r="N12" i="165"/>
  <c r="R11" i="165"/>
  <c r="Q11" i="165"/>
  <c r="O11" i="165"/>
  <c r="N11" i="165"/>
  <c r="G11" i="165"/>
  <c r="G21" i="165" s="1"/>
  <c r="R6" i="165"/>
  <c r="N6" i="165"/>
  <c r="N5" i="165"/>
  <c r="R4" i="165"/>
  <c r="I11" i="165" l="1"/>
  <c r="U11" i="165" s="1"/>
  <c r="U21" i="165" s="1"/>
  <c r="S11" i="165"/>
  <c r="S21" i="165" s="1"/>
  <c r="I21" i="165" l="1"/>
  <c r="C9" i="165" s="1"/>
  <c r="O9" i="165"/>
</calcChain>
</file>

<file path=xl/sharedStrings.xml><?xml version="1.0" encoding="utf-8"?>
<sst xmlns="http://schemas.openxmlformats.org/spreadsheetml/2006/main" count="64" uniqueCount="38">
  <si>
    <t>)</t>
    <phoneticPr fontId="6" type="noConversion"/>
  </si>
  <si>
    <r>
      <t xml:space="preserve">거   래   명   세   서 </t>
    </r>
    <r>
      <rPr>
        <b/>
        <u val="double"/>
        <sz val="14"/>
        <rFont val="새굴림"/>
        <family val="1"/>
        <charset val="129"/>
      </rPr>
      <t>(공급자용)</t>
    </r>
    <phoneticPr fontId="6" type="noConversion"/>
  </si>
  <si>
    <r>
      <t>거   래   명   세   서</t>
    </r>
    <r>
      <rPr>
        <b/>
        <u val="double"/>
        <sz val="14"/>
        <rFont val="새굴림"/>
        <family val="1"/>
        <charset val="129"/>
      </rPr>
      <t xml:space="preserve"> (공급받는자용)</t>
    </r>
    <phoneticPr fontId="6" type="noConversion"/>
  </si>
  <si>
    <t>등록번호</t>
    <phoneticPr fontId="6" type="noConversion"/>
  </si>
  <si>
    <t>1 2 4 - 8 6 - 3 3 8 9 2</t>
    <phoneticPr fontId="6" type="noConversion"/>
  </si>
  <si>
    <t>상호</t>
    <phoneticPr fontId="6" type="noConversion"/>
  </si>
  <si>
    <t>성명</t>
    <phoneticPr fontId="6" type="noConversion"/>
  </si>
  <si>
    <t xml:space="preserve">    박  인  래</t>
    <phoneticPr fontId="6" type="noConversion"/>
  </si>
  <si>
    <t>귀      하</t>
    <phoneticPr fontId="6" type="noConversion"/>
  </si>
  <si>
    <t>사업장</t>
    <phoneticPr fontId="6" type="noConversion"/>
  </si>
  <si>
    <t>경기 안성시 고삼면 안성대로 2061</t>
    <phoneticPr fontId="6" type="noConversion"/>
  </si>
  <si>
    <t>아래와 같이 계산합니다.</t>
    <phoneticPr fontId="6" type="noConversion"/>
  </si>
  <si>
    <t>업태</t>
    <phoneticPr fontId="6" type="noConversion"/>
  </si>
  <si>
    <t>제   조</t>
    <phoneticPr fontId="6" type="noConversion"/>
  </si>
  <si>
    <t>종목</t>
    <phoneticPr fontId="6" type="noConversion"/>
  </si>
  <si>
    <t>반도체 부품 가공</t>
    <phoneticPr fontId="6" type="noConversion"/>
  </si>
  <si>
    <t>합 계 금 액  :일금</t>
    <phoneticPr fontId="6" type="noConversion"/>
  </si>
  <si>
    <t>품       명</t>
    <phoneticPr fontId="6" type="noConversion"/>
  </si>
  <si>
    <t>규    격</t>
    <phoneticPr fontId="6" type="noConversion"/>
  </si>
  <si>
    <t>수량</t>
    <phoneticPr fontId="6" type="noConversion"/>
  </si>
  <si>
    <t>단     가</t>
    <phoneticPr fontId="6" type="noConversion"/>
  </si>
  <si>
    <t>공 급 가 액</t>
    <phoneticPr fontId="6" type="noConversion"/>
  </si>
  <si>
    <t>세    액</t>
    <phoneticPr fontId="6" type="noConversion"/>
  </si>
  <si>
    <t>계</t>
    <phoneticPr fontId="6" type="noConversion"/>
  </si>
  <si>
    <t>전 잔 금</t>
    <phoneticPr fontId="6" type="noConversion"/>
  </si>
  <si>
    <t>합  계</t>
    <phoneticPr fontId="6" type="noConversion"/>
  </si>
  <si>
    <t>입     금</t>
    <phoneticPr fontId="6" type="noConversion"/>
  </si>
  <si>
    <t>잔   금</t>
    <phoneticPr fontId="6" type="noConversion"/>
  </si>
  <si>
    <t>인수자</t>
    <phoneticPr fontId="6" type="noConversion"/>
  </si>
  <si>
    <t>한솔아이원스㈜</t>
    <phoneticPr fontId="6" type="noConversion"/>
  </si>
  <si>
    <t>SERVICE KIT, MSA EPI KIT</t>
    <phoneticPr fontId="3" type="noConversion"/>
  </si>
  <si>
    <t>Applied Materials Korea</t>
    <phoneticPr fontId="6" type="noConversion"/>
  </si>
  <si>
    <t>UPPER DOME</t>
    <phoneticPr fontId="3" type="noConversion"/>
  </si>
  <si>
    <t>0200-89023</t>
  </si>
  <si>
    <t>0247-05405B</t>
    <phoneticPr fontId="3" type="noConversion"/>
  </si>
  <si>
    <t>771-4624-0002</t>
    <phoneticPr fontId="3" type="noConversion"/>
  </si>
  <si>
    <t xml:space="preserve">PO </t>
    <phoneticPr fontId="3" type="noConversion"/>
  </si>
  <si>
    <t>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</si>
</sst>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#,##0_ ;[Red]\-#,##0\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name val="바탕체"/>
      <family val="1"/>
      <charset val="129"/>
    </font>
    <font>
      <sz val="11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u val="double"/>
      <sz val="18"/>
      <name val="새굴림"/>
      <family val="1"/>
      <charset val="129"/>
    </font>
    <font>
      <b/>
      <u val="double"/>
      <sz val="14"/>
      <name val="새굴림"/>
      <family val="1"/>
      <charset val="129"/>
    </font>
    <font>
      <sz val="8"/>
      <name val="바탕체"/>
      <family val="1"/>
      <charset val="129"/>
    </font>
    <font>
      <u val="double"/>
      <sz val="18"/>
      <name val="새굴림"/>
      <family val="1"/>
      <charset val="129"/>
    </font>
    <font>
      <sz val="10"/>
      <name val="새굴림"/>
      <family val="1"/>
      <charset val="129"/>
    </font>
    <font>
      <sz val="12"/>
      <name val="새굴림"/>
      <family val="1"/>
      <charset val="129"/>
    </font>
    <font>
      <sz val="9"/>
      <name val="새굴림"/>
      <family val="1"/>
      <charset val="129"/>
    </font>
    <font>
      <b/>
      <sz val="9"/>
      <name val="새굴림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9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새굴림"/>
      <family val="1"/>
      <charset val="129"/>
    </font>
    <font>
      <sz val="8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DotDot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/>
    <xf numFmtId="0" fontId="13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96">
    <xf numFmtId="0" fontId="0" fillId="0" borderId="0" xfId="0">
      <alignment vertical="center"/>
    </xf>
    <xf numFmtId="0" fontId="2" fillId="2" borderId="0" xfId="2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10" fillId="2" borderId="12" xfId="2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distributed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right" vertical="center"/>
    </xf>
    <xf numFmtId="0" fontId="2" fillId="2" borderId="16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left" vertical="center"/>
    </xf>
    <xf numFmtId="0" fontId="8" fillId="2" borderId="13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left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15" xfId="2" applyFont="1" applyFill="1" applyBorder="1" applyAlignment="1">
      <alignment horizontal="right" vertical="center"/>
    </xf>
    <xf numFmtId="0" fontId="11" fillId="2" borderId="20" xfId="2" applyFont="1" applyFill="1" applyBorder="1" applyAlignment="1">
      <alignment vertical="center"/>
    </xf>
    <xf numFmtId="0" fontId="11" fillId="2" borderId="20" xfId="2" applyFont="1" applyFill="1" applyBorder="1" applyAlignment="1">
      <alignment horizontal="right"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left" vertical="center" wrapText="1" shrinkToFit="1"/>
    </xf>
    <xf numFmtId="177" fontId="14" fillId="2" borderId="22" xfId="3" applyNumberFormat="1" applyFont="1" applyFill="1" applyBorder="1" applyAlignment="1">
      <alignment horizontal="center" vertical="center" shrinkToFit="1"/>
    </xf>
    <xf numFmtId="177" fontId="14" fillId="2" borderId="22" xfId="1" applyNumberFormat="1" applyFont="1" applyFill="1" applyBorder="1" applyAlignment="1">
      <alignment horizontal="right" vertical="center" shrinkToFit="1"/>
    </xf>
    <xf numFmtId="41" fontId="10" fillId="2" borderId="5" xfId="1" applyFont="1" applyFill="1" applyBorder="1" applyAlignment="1">
      <alignment horizontal="center" vertical="center"/>
    </xf>
    <xf numFmtId="41" fontId="10" fillId="2" borderId="4" xfId="1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left" vertical="center" shrinkToFit="1"/>
    </xf>
    <xf numFmtId="0" fontId="10" fillId="2" borderId="22" xfId="2" applyFont="1" applyFill="1" applyBorder="1" applyAlignment="1">
      <alignment horizontal="left" vertical="center" shrinkToFit="1"/>
    </xf>
    <xf numFmtId="41" fontId="10" fillId="2" borderId="22" xfId="2" applyNumberFormat="1" applyFont="1" applyFill="1" applyBorder="1" applyAlignment="1">
      <alignment horizontal="center" vertical="center"/>
    </xf>
    <xf numFmtId="41" fontId="10" fillId="2" borderId="5" xfId="2" applyNumberFormat="1" applyFont="1" applyFill="1" applyBorder="1" applyAlignment="1">
      <alignment horizontal="center" vertical="center"/>
    </xf>
    <xf numFmtId="41" fontId="10" fillId="2" borderId="4" xfId="2" applyNumberFormat="1" applyFont="1" applyFill="1" applyBorder="1" applyAlignment="1">
      <alignment horizontal="center" vertical="center"/>
    </xf>
    <xf numFmtId="0" fontId="11" fillId="2" borderId="22" xfId="2" applyFont="1" applyFill="1" applyBorder="1" applyAlignment="1">
      <alignment horizontal="center" vertical="center"/>
    </xf>
    <xf numFmtId="0" fontId="11" fillId="2" borderId="15" xfId="2" applyFont="1" applyFill="1" applyBorder="1" applyAlignment="1">
      <alignment horizontal="center" vertical="center"/>
    </xf>
    <xf numFmtId="41" fontId="11" fillId="2" borderId="5" xfId="1" applyFont="1" applyFill="1" applyBorder="1" applyAlignment="1">
      <alignment horizontal="center" vertical="center"/>
    </xf>
    <xf numFmtId="41" fontId="11" fillId="2" borderId="4" xfId="1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17" fillId="0" borderId="22" xfId="0" applyFont="1" applyBorder="1" applyAlignment="1">
      <alignment vertical="center" wrapText="1"/>
    </xf>
    <xf numFmtId="177" fontId="10" fillId="2" borderId="22" xfId="2" applyNumberFormat="1" applyFont="1" applyFill="1" applyBorder="1" applyAlignment="1">
      <alignment horizontal="center" vertical="center"/>
    </xf>
    <xf numFmtId="177" fontId="14" fillId="3" borderId="22" xfId="1" applyNumberFormat="1" applyFont="1" applyFill="1" applyBorder="1" applyAlignment="1">
      <alignment horizontal="right" vertical="center" shrinkToFit="1"/>
    </xf>
    <xf numFmtId="41" fontId="10" fillId="3" borderId="22" xfId="1" applyFont="1" applyFill="1" applyBorder="1" applyAlignment="1">
      <alignment horizontal="center" vertical="center"/>
    </xf>
    <xf numFmtId="0" fontId="18" fillId="2" borderId="20" xfId="2" applyFont="1" applyFill="1" applyBorder="1" applyAlignment="1">
      <alignment horizontal="center" vertical="center" wrapText="1"/>
    </xf>
    <xf numFmtId="0" fontId="10" fillId="2" borderId="22" xfId="2" applyFont="1" applyFill="1" applyBorder="1" applyAlignment="1">
      <alignment horizontal="center" vertical="center"/>
    </xf>
    <xf numFmtId="41" fontId="10" fillId="2" borderId="22" xfId="1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left" vertical="center"/>
    </xf>
    <xf numFmtId="0" fontId="8" fillId="2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176" fontId="2" fillId="0" borderId="14" xfId="2" applyNumberFormat="1" applyFont="1" applyBorder="1" applyAlignment="1">
      <alignment horizontal="center" vertical="center"/>
    </xf>
    <xf numFmtId="176" fontId="2" fillId="0" borderId="11" xfId="2" applyNumberFormat="1" applyFont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8" fillId="2" borderId="17" xfId="2" applyFont="1" applyFill="1" applyBorder="1" applyAlignment="1">
      <alignment horizontal="left" vertical="center"/>
    </xf>
    <xf numFmtId="0" fontId="8" fillId="2" borderId="18" xfId="2" applyFont="1" applyFill="1" applyBorder="1" applyAlignment="1">
      <alignment horizontal="left" vertical="center"/>
    </xf>
    <xf numFmtId="0" fontId="8" fillId="2" borderId="19" xfId="2" applyFont="1" applyFill="1" applyBorder="1" applyAlignment="1">
      <alignment horizontal="left" vertical="center"/>
    </xf>
    <xf numFmtId="41" fontId="11" fillId="2" borderId="20" xfId="1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/>
    </xf>
    <xf numFmtId="0" fontId="10" fillId="2" borderId="21" xfId="2" applyFont="1" applyFill="1" applyBorder="1" applyAlignment="1">
      <alignment horizontal="center" vertical="center"/>
    </xf>
    <xf numFmtId="0" fontId="10" fillId="2" borderId="22" xfId="2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 wrapText="1" shrinkToFit="1"/>
    </xf>
    <xf numFmtId="0" fontId="10" fillId="2" borderId="21" xfId="2" applyFont="1" applyFill="1" applyBorder="1" applyAlignment="1">
      <alignment horizontal="center" vertical="center" wrapText="1" shrinkToFit="1"/>
    </xf>
    <xf numFmtId="41" fontId="10" fillId="3" borderId="15" xfId="1" applyFont="1" applyFill="1" applyBorder="1" applyAlignment="1">
      <alignment horizontal="center" vertical="center"/>
    </xf>
    <xf numFmtId="41" fontId="10" fillId="3" borderId="21" xfId="1" applyFont="1" applyFill="1" applyBorder="1" applyAlignment="1">
      <alignment horizontal="center" vertical="center"/>
    </xf>
    <xf numFmtId="41" fontId="10" fillId="2" borderId="15" xfId="1" applyFont="1" applyFill="1" applyBorder="1" applyAlignment="1">
      <alignment horizontal="center" vertical="center"/>
    </xf>
    <xf numFmtId="41" fontId="10" fillId="2" borderId="21" xfId="1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 shrinkToFit="1"/>
    </xf>
    <xf numFmtId="0" fontId="10" fillId="2" borderId="21" xfId="2" applyFont="1" applyFill="1" applyBorder="1" applyAlignment="1">
      <alignment horizontal="center" vertical="center" shrinkToFit="1"/>
    </xf>
    <xf numFmtId="177" fontId="14" fillId="2" borderId="15" xfId="1" quotePrefix="1" applyNumberFormat="1" applyFont="1" applyFill="1" applyBorder="1" applyAlignment="1">
      <alignment horizontal="center" vertical="center" shrinkToFit="1"/>
    </xf>
    <xf numFmtId="177" fontId="14" fillId="2" borderId="20" xfId="1" applyNumberFormat="1" applyFont="1" applyFill="1" applyBorder="1" applyAlignment="1">
      <alignment horizontal="center" vertical="center" shrinkToFit="1"/>
    </xf>
    <xf numFmtId="177" fontId="14" fillId="2" borderId="21" xfId="1" applyNumberFormat="1" applyFont="1" applyFill="1" applyBorder="1" applyAlignment="1">
      <alignment horizontal="center" vertical="center" shrinkToFit="1"/>
    </xf>
    <xf numFmtId="177" fontId="14" fillId="3" borderId="15" xfId="1" applyNumberFormat="1" applyFont="1" applyFill="1" applyBorder="1" applyAlignment="1">
      <alignment horizontal="center" vertical="center" shrinkToFit="1"/>
    </xf>
    <xf numFmtId="177" fontId="14" fillId="3" borderId="20" xfId="1" applyNumberFormat="1" applyFont="1" applyFill="1" applyBorder="1" applyAlignment="1">
      <alignment horizontal="center" vertical="center" shrinkToFit="1"/>
    </xf>
    <xf numFmtId="177" fontId="14" fillId="3" borderId="21" xfId="1" applyNumberFormat="1" applyFont="1" applyFill="1" applyBorder="1" applyAlignment="1">
      <alignment horizontal="center" vertical="center" shrinkToFit="1"/>
    </xf>
    <xf numFmtId="0" fontId="10" fillId="2" borderId="22" xfId="2" applyFont="1" applyFill="1" applyBorder="1" applyAlignment="1">
      <alignment horizontal="center" vertical="center" shrinkToFit="1"/>
    </xf>
    <xf numFmtId="41" fontId="10" fillId="2" borderId="22" xfId="1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41" fontId="10" fillId="2" borderId="15" xfId="2" applyNumberFormat="1" applyFont="1" applyFill="1" applyBorder="1" applyAlignment="1">
      <alignment horizontal="center" vertical="center"/>
    </xf>
    <xf numFmtId="41" fontId="11" fillId="2" borderId="15" xfId="1" applyFont="1" applyFill="1" applyBorder="1" applyAlignment="1">
      <alignment horizontal="center" vertical="center"/>
    </xf>
    <xf numFmtId="41" fontId="11" fillId="2" borderId="21" xfId="1" applyFont="1" applyFill="1" applyBorder="1" applyAlignment="1">
      <alignment horizontal="center" vertical="center"/>
    </xf>
  </cellXfs>
  <cellStyles count="17">
    <cellStyle name="쉼표 [0]" xfId="1" builtinId="6"/>
    <cellStyle name="표준" xfId="0" builtinId="0"/>
    <cellStyle name="표준 2" xfId="5" xr:uid="{00000000-0005-0000-0000-000002000000}"/>
    <cellStyle name="표준 2 2" xfId="7" xr:uid="{00000000-0005-0000-0000-000003000000}"/>
    <cellStyle name="표준 2 2 2" xfId="13" xr:uid="{00000000-0005-0000-0000-000004000000}"/>
    <cellStyle name="표준 2 3" xfId="11" xr:uid="{00000000-0005-0000-0000-000005000000}"/>
    <cellStyle name="표준 3" xfId="6" xr:uid="{00000000-0005-0000-0000-000006000000}"/>
    <cellStyle name="표준 3 2" xfId="12" xr:uid="{00000000-0005-0000-0000-000007000000}"/>
    <cellStyle name="표준 4" xfId="8" xr:uid="{00000000-0005-0000-0000-000008000000}"/>
    <cellStyle name="표준 4 2" xfId="14" xr:uid="{00000000-0005-0000-0000-000009000000}"/>
    <cellStyle name="표준 5" xfId="9" xr:uid="{00000000-0005-0000-0000-00000A000000}"/>
    <cellStyle name="표준 5 2" xfId="15" xr:uid="{00000000-0005-0000-0000-00000B000000}"/>
    <cellStyle name="표준 6" xfId="10" xr:uid="{00000000-0005-0000-0000-00000C000000}"/>
    <cellStyle name="표준 6 2" xfId="16" xr:uid="{00000000-0005-0000-0000-00000D000000}"/>
    <cellStyle name="표준 7" xfId="4" xr:uid="{00000000-0005-0000-0000-00000E000000}"/>
    <cellStyle name="표준_거래명세서" xfId="2" xr:uid="{00000000-0005-0000-0000-00000F000000}"/>
    <cellStyle name="표준_거래명세서(세금계산서)" xfId="3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Z24"/>
  <sheetViews>
    <sheetView showZeros="0" tabSelected="1" zoomScale="70" zoomScaleNormal="70" zoomScaleSheetLayoutView="100" workbookViewId="0">
      <selection activeCell="X6" sqref="X6"/>
    </sheetView>
  </sheetViews>
  <sheetFormatPr defaultColWidth="9" defaultRowHeight="13.5" x14ac:dyDescent="0.3"/>
  <cols>
    <col min="1" max="1" width="1.125" style="1" customWidth="1"/>
    <col min="2" max="2" width="18.625" style="1" customWidth="1"/>
    <col min="3" max="3" width="10.75" style="1" customWidth="1"/>
    <col min="4" max="4" width="5.75" style="1" customWidth="1"/>
    <col min="5" max="5" width="4.375" style="1" customWidth="1"/>
    <col min="6" max="6" width="12.5" style="1" bestFit="1" customWidth="1"/>
    <col min="7" max="7" width="6.625" style="1" customWidth="1"/>
    <col min="8" max="8" width="7.625" style="1" customWidth="1"/>
    <col min="9" max="9" width="12.625" style="1" customWidth="1"/>
    <col min="10" max="10" width="1.125" style="1" customWidth="1"/>
    <col min="11" max="12" width="3" style="1" customWidth="1"/>
    <col min="13" max="13" width="1.125" style="1" customWidth="1"/>
    <col min="14" max="14" width="18.625" style="1" customWidth="1"/>
    <col min="15" max="15" width="10.75" style="1" customWidth="1"/>
    <col min="16" max="16" width="6" style="1" customWidth="1"/>
    <col min="17" max="17" width="4.375" style="1" customWidth="1"/>
    <col min="18" max="18" width="12.5" style="1" bestFit="1" customWidth="1"/>
    <col min="19" max="19" width="6.625" style="1" customWidth="1"/>
    <col min="20" max="20" width="7.625" style="1" customWidth="1"/>
    <col min="21" max="21" width="12.625" style="1" customWidth="1"/>
    <col min="22" max="22" width="1.125" style="1" customWidth="1"/>
    <col min="23" max="16384" width="9" style="1"/>
  </cols>
  <sheetData>
    <row r="1" spans="1:26" ht="20.100000000000001" customHeight="1" x14ac:dyDescent="0.3"/>
    <row r="2" spans="1:26" ht="18" customHeight="1" x14ac:dyDescent="0.3">
      <c r="A2" s="2"/>
      <c r="B2" s="3"/>
      <c r="C2" s="3"/>
      <c r="D2" s="3"/>
      <c r="E2" s="3"/>
      <c r="F2" s="3"/>
      <c r="G2" s="3"/>
      <c r="H2" s="3"/>
      <c r="I2" s="3"/>
      <c r="J2" s="4"/>
      <c r="K2" s="5"/>
      <c r="L2" s="6"/>
      <c r="M2" s="2"/>
      <c r="N2" s="3"/>
      <c r="O2" s="3"/>
      <c r="P2" s="3"/>
      <c r="Q2" s="3"/>
      <c r="R2" s="3"/>
      <c r="S2" s="3"/>
      <c r="T2" s="3"/>
      <c r="U2" s="3"/>
      <c r="V2" s="4"/>
    </row>
    <row r="3" spans="1:26" ht="39.950000000000003" customHeight="1" thickBot="1" x14ac:dyDescent="0.35">
      <c r="A3" s="7"/>
      <c r="B3" s="58" t="s">
        <v>1</v>
      </c>
      <c r="C3" s="58"/>
      <c r="D3" s="58"/>
      <c r="E3" s="58"/>
      <c r="F3" s="58"/>
      <c r="G3" s="58"/>
      <c r="H3" s="58"/>
      <c r="I3" s="58"/>
      <c r="J3" s="8"/>
      <c r="K3" s="9"/>
      <c r="L3" s="8"/>
      <c r="M3" s="7"/>
      <c r="N3" s="58" t="s">
        <v>2</v>
      </c>
      <c r="O3" s="58"/>
      <c r="P3" s="58"/>
      <c r="Q3" s="58"/>
      <c r="R3" s="58"/>
      <c r="S3" s="58"/>
      <c r="T3" s="58"/>
      <c r="U3" s="58"/>
      <c r="V3" s="8"/>
    </row>
    <row r="4" spans="1:26" ht="30" customHeight="1" thickBot="1" x14ac:dyDescent="0.35">
      <c r="A4" s="7"/>
      <c r="D4" s="59" t="s">
        <v>3</v>
      </c>
      <c r="E4" s="60"/>
      <c r="F4" s="61" t="s">
        <v>4</v>
      </c>
      <c r="G4" s="62"/>
      <c r="H4" s="62"/>
      <c r="I4" s="63"/>
      <c r="J4" s="10"/>
      <c r="K4" s="11"/>
      <c r="L4" s="10"/>
      <c r="M4" s="7"/>
      <c r="P4" s="59" t="s">
        <v>3</v>
      </c>
      <c r="Q4" s="60"/>
      <c r="R4" s="61" t="str">
        <f>F4</f>
        <v>1 2 4 - 8 6 - 3 3 8 9 2</v>
      </c>
      <c r="S4" s="62"/>
      <c r="T4" s="62"/>
      <c r="U4" s="63"/>
      <c r="V4" s="10"/>
    </row>
    <row r="5" spans="1:26" ht="30" customHeight="1" thickBot="1" x14ac:dyDescent="0.35">
      <c r="A5" s="7"/>
      <c r="B5" s="64">
        <v>46098</v>
      </c>
      <c r="C5" s="65"/>
      <c r="D5" s="59" t="s">
        <v>5</v>
      </c>
      <c r="E5" s="60"/>
      <c r="F5" s="12" t="s">
        <v>29</v>
      </c>
      <c r="G5" s="13" t="s">
        <v>6</v>
      </c>
      <c r="H5" s="56" t="s">
        <v>7</v>
      </c>
      <c r="I5" s="57"/>
      <c r="J5" s="14"/>
      <c r="K5" s="15"/>
      <c r="L5" s="14"/>
      <c r="M5" s="7"/>
      <c r="N5" s="64">
        <f>B5</f>
        <v>46098</v>
      </c>
      <c r="O5" s="65"/>
      <c r="P5" s="59" t="s">
        <v>5</v>
      </c>
      <c r="Q5" s="60"/>
      <c r="R5" s="12" t="s">
        <v>29</v>
      </c>
      <c r="S5" s="13" t="s">
        <v>6</v>
      </c>
      <c r="T5" s="56" t="s">
        <v>7</v>
      </c>
      <c r="U5" s="57"/>
      <c r="V5" s="14"/>
    </row>
    <row r="6" spans="1:26" ht="29.25" customHeight="1" thickBot="1" x14ac:dyDescent="0.2">
      <c r="A6" s="16"/>
      <c r="B6" s="53" t="s">
        <v>31</v>
      </c>
      <c r="C6" s="17" t="s">
        <v>8</v>
      </c>
      <c r="D6" s="66" t="s">
        <v>9</v>
      </c>
      <c r="E6" s="67"/>
      <c r="F6" s="68" t="s">
        <v>10</v>
      </c>
      <c r="G6" s="69"/>
      <c r="H6" s="69"/>
      <c r="I6" s="70"/>
      <c r="J6" s="18"/>
      <c r="K6" s="19"/>
      <c r="L6" s="18"/>
      <c r="M6" s="16"/>
      <c r="N6" s="53" t="str">
        <f>B6</f>
        <v>Applied Materials Korea</v>
      </c>
      <c r="O6" s="17" t="s">
        <v>8</v>
      </c>
      <c r="P6" s="66" t="s">
        <v>9</v>
      </c>
      <c r="Q6" s="67"/>
      <c r="R6" s="68" t="str">
        <f>F6</f>
        <v>경기 안성시 고삼면 안성대로 2061</v>
      </c>
      <c r="S6" s="69"/>
      <c r="T6" s="69"/>
      <c r="U6" s="70"/>
      <c r="V6" s="18"/>
    </row>
    <row r="7" spans="1:26" ht="30" customHeight="1" thickBot="1" x14ac:dyDescent="0.35">
      <c r="A7" s="7"/>
      <c r="B7" s="21" t="s">
        <v>11</v>
      </c>
      <c r="D7" s="59" t="s">
        <v>12</v>
      </c>
      <c r="E7" s="60"/>
      <c r="F7" s="20" t="s">
        <v>13</v>
      </c>
      <c r="G7" s="13" t="s">
        <v>14</v>
      </c>
      <c r="H7" s="59" t="s">
        <v>15</v>
      </c>
      <c r="I7" s="60"/>
      <c r="J7" s="14"/>
      <c r="K7" s="15"/>
      <c r="L7" s="14"/>
      <c r="M7" s="7"/>
      <c r="N7" s="21" t="s">
        <v>11</v>
      </c>
      <c r="P7" s="59" t="s">
        <v>12</v>
      </c>
      <c r="Q7" s="60"/>
      <c r="R7" s="20" t="s">
        <v>13</v>
      </c>
      <c r="S7" s="13" t="s">
        <v>14</v>
      </c>
      <c r="T7" s="59" t="s">
        <v>15</v>
      </c>
      <c r="U7" s="60"/>
      <c r="V7" s="14"/>
    </row>
    <row r="8" spans="1:26" ht="9.9499999999999993" customHeight="1" x14ac:dyDescent="0.3">
      <c r="A8" s="7"/>
      <c r="B8" s="23"/>
      <c r="C8" s="23"/>
      <c r="D8" s="23"/>
      <c r="E8" s="23"/>
      <c r="F8" s="23"/>
      <c r="G8" s="23"/>
      <c r="H8" s="23"/>
      <c r="I8" s="23"/>
      <c r="J8" s="6"/>
      <c r="K8" s="5"/>
      <c r="L8" s="6"/>
      <c r="M8" s="7"/>
      <c r="V8" s="6"/>
    </row>
    <row r="9" spans="1:26" s="31" customFormat="1" ht="24.95" customHeight="1" x14ac:dyDescent="0.3">
      <c r="A9" s="24"/>
      <c r="B9" s="25" t="s">
        <v>16</v>
      </c>
      <c r="C9" s="26" t="str">
        <f>NUMBERSTRING(G9,1)&amp;"원정(\"</f>
        <v>팔백구십사만삼천이백이십원정(\</v>
      </c>
      <c r="D9" s="26"/>
      <c r="E9" s="26"/>
      <c r="F9" s="27"/>
      <c r="G9" s="71">
        <f>F11+I11</f>
        <v>8943220</v>
      </c>
      <c r="H9" s="71"/>
      <c r="I9" s="28" t="s">
        <v>0</v>
      </c>
      <c r="J9" s="29"/>
      <c r="K9" s="30"/>
      <c r="L9" s="29"/>
      <c r="M9" s="24"/>
      <c r="N9" s="25" t="s">
        <v>16</v>
      </c>
      <c r="O9" s="26" t="str">
        <f>NUMBERSTRING(S9,1)&amp;"원정(\"</f>
        <v>팔백구십사만삼천이백이십원정(\</v>
      </c>
      <c r="P9" s="26"/>
      <c r="Q9" s="26"/>
      <c r="R9" s="27"/>
      <c r="S9" s="71">
        <f>+G9</f>
        <v>8943220</v>
      </c>
      <c r="T9" s="71"/>
      <c r="U9" s="28" t="s">
        <v>0</v>
      </c>
      <c r="V9" s="29"/>
    </row>
    <row r="10" spans="1:26" s="31" customFormat="1" ht="20.100000000000001" customHeight="1" x14ac:dyDescent="0.3">
      <c r="A10" s="24"/>
      <c r="B10" s="54" t="s">
        <v>17</v>
      </c>
      <c r="C10" s="72" t="s">
        <v>18</v>
      </c>
      <c r="D10" s="73"/>
      <c r="E10" s="54" t="s">
        <v>19</v>
      </c>
      <c r="F10" s="54" t="s">
        <v>20</v>
      </c>
      <c r="G10" s="74" t="s">
        <v>21</v>
      </c>
      <c r="H10" s="74"/>
      <c r="I10" s="54" t="s">
        <v>22</v>
      </c>
      <c r="J10" s="32"/>
      <c r="K10" s="33"/>
      <c r="L10" s="32"/>
      <c r="M10" s="24"/>
      <c r="N10" s="54" t="s">
        <v>17</v>
      </c>
      <c r="O10" s="72" t="s">
        <v>18</v>
      </c>
      <c r="P10" s="73"/>
      <c r="Q10" s="54" t="s">
        <v>19</v>
      </c>
      <c r="R10" s="54" t="s">
        <v>20</v>
      </c>
      <c r="S10" s="74" t="s">
        <v>21</v>
      </c>
      <c r="T10" s="74"/>
      <c r="U10" s="54" t="s">
        <v>22</v>
      </c>
      <c r="V10" s="32"/>
    </row>
    <row r="11" spans="1:26" s="31" customFormat="1" ht="39" customHeight="1" x14ac:dyDescent="0.3">
      <c r="A11" s="24"/>
      <c r="B11" s="49" t="s">
        <v>30</v>
      </c>
      <c r="C11" s="75" t="s">
        <v>34</v>
      </c>
      <c r="D11" s="76"/>
      <c r="E11" s="35">
        <v>1</v>
      </c>
      <c r="F11" s="51">
        <v>8130200</v>
      </c>
      <c r="G11" s="77">
        <f>E11*F11</f>
        <v>8130200</v>
      </c>
      <c r="H11" s="78"/>
      <c r="I11" s="52">
        <f>SUM(G11*0.1)</f>
        <v>813020</v>
      </c>
      <c r="J11" s="37"/>
      <c r="K11" s="38"/>
      <c r="L11" s="37"/>
      <c r="M11" s="24"/>
      <c r="N11" s="34" t="str">
        <f>B11</f>
        <v>SERVICE KIT, MSA EPI KIT</v>
      </c>
      <c r="O11" s="75" t="str">
        <f>C11</f>
        <v>0247-05405B</v>
      </c>
      <c r="P11" s="76"/>
      <c r="Q11" s="35">
        <f t="shared" ref="Q11:Q12" si="0">E11</f>
        <v>1</v>
      </c>
      <c r="R11" s="51">
        <f>F11</f>
        <v>8130200</v>
      </c>
      <c r="S11" s="79">
        <f>G11</f>
        <v>8130200</v>
      </c>
      <c r="T11" s="80"/>
      <c r="U11" s="55">
        <f>I11</f>
        <v>813020</v>
      </c>
      <c r="V11" s="37"/>
    </row>
    <row r="12" spans="1:26" s="31" customFormat="1" ht="39" customHeight="1" x14ac:dyDescent="0.3">
      <c r="A12" s="24"/>
      <c r="B12" s="39" t="s">
        <v>32</v>
      </c>
      <c r="C12" s="81" t="s">
        <v>33</v>
      </c>
      <c r="D12" s="82"/>
      <c r="E12" s="54">
        <v>1</v>
      </c>
      <c r="F12" s="83" t="s">
        <v>35</v>
      </c>
      <c r="G12" s="84"/>
      <c r="H12" s="85"/>
      <c r="I12" s="55"/>
      <c r="J12" s="37"/>
      <c r="K12" s="38"/>
      <c r="L12" s="37"/>
      <c r="M12" s="24"/>
      <c r="N12" s="34" t="str">
        <f>B12</f>
        <v>UPPER DOME</v>
      </c>
      <c r="O12" s="75" t="str">
        <f>C12</f>
        <v>0200-89023</v>
      </c>
      <c r="P12" s="76"/>
      <c r="Q12" s="35">
        <f t="shared" si="0"/>
        <v>1</v>
      </c>
      <c r="R12" s="86" t="str">
        <f>F12</f>
        <v>771-4624-0002</v>
      </c>
      <c r="S12" s="87"/>
      <c r="T12" s="88"/>
      <c r="U12" s="55"/>
      <c r="V12" s="37"/>
    </row>
    <row r="13" spans="1:26" s="31" customFormat="1" ht="39" customHeight="1" x14ac:dyDescent="0.3">
      <c r="A13" s="24"/>
      <c r="B13" s="39"/>
      <c r="C13" s="89"/>
      <c r="D13" s="89"/>
      <c r="E13" s="54"/>
      <c r="F13" s="36"/>
      <c r="G13" s="79"/>
      <c r="H13" s="80"/>
      <c r="I13" s="55"/>
      <c r="J13" s="37"/>
      <c r="K13" s="38"/>
      <c r="L13" s="37"/>
      <c r="M13" s="24"/>
      <c r="N13" s="39"/>
      <c r="O13" s="89"/>
      <c r="P13" s="89"/>
      <c r="Q13" s="54"/>
      <c r="R13" s="36"/>
      <c r="S13" s="90"/>
      <c r="T13" s="90"/>
      <c r="U13" s="55"/>
      <c r="V13" s="37"/>
      <c r="Z13" s="31" t="s">
        <v>37</v>
      </c>
    </row>
    <row r="14" spans="1:26" s="31" customFormat="1" ht="39" customHeight="1" x14ac:dyDescent="0.3">
      <c r="A14" s="24"/>
      <c r="B14" s="39"/>
      <c r="C14" s="89"/>
      <c r="D14" s="89"/>
      <c r="E14" s="54"/>
      <c r="G14" s="79"/>
      <c r="H14" s="80"/>
      <c r="I14" s="55"/>
      <c r="J14" s="37"/>
      <c r="K14" s="38"/>
      <c r="L14" s="37"/>
      <c r="M14" s="24"/>
      <c r="N14" s="39"/>
      <c r="O14" s="89"/>
      <c r="P14" s="89"/>
      <c r="Q14" s="54"/>
      <c r="R14" s="36"/>
      <c r="S14" s="90"/>
      <c r="T14" s="90"/>
      <c r="U14" s="55"/>
      <c r="V14" s="37"/>
    </row>
    <row r="15" spans="1:26" s="31" customFormat="1" ht="39" customHeight="1" x14ac:dyDescent="0.3">
      <c r="A15" s="24"/>
      <c r="B15" s="39"/>
      <c r="C15" s="89"/>
      <c r="D15" s="89"/>
      <c r="E15" s="54"/>
      <c r="F15" s="36"/>
      <c r="G15" s="90"/>
      <c r="H15" s="90"/>
      <c r="I15" s="55"/>
      <c r="J15" s="37"/>
      <c r="K15" s="38"/>
      <c r="L15" s="37"/>
      <c r="M15" s="24"/>
      <c r="N15" s="39"/>
      <c r="O15" s="89"/>
      <c r="P15" s="89"/>
      <c r="Q15" s="54"/>
      <c r="R15" s="36"/>
      <c r="S15" s="90"/>
      <c r="T15" s="90"/>
      <c r="U15" s="55"/>
      <c r="V15" s="37"/>
    </row>
    <row r="16" spans="1:26" s="31" customFormat="1" ht="39" customHeight="1" x14ac:dyDescent="0.3">
      <c r="A16" s="24"/>
      <c r="B16" s="39"/>
      <c r="C16" s="89"/>
      <c r="D16" s="89"/>
      <c r="E16" s="54"/>
      <c r="F16" s="36"/>
      <c r="G16" s="90"/>
      <c r="H16" s="90"/>
      <c r="I16" s="55"/>
      <c r="J16" s="37"/>
      <c r="K16" s="38"/>
      <c r="L16" s="37"/>
      <c r="M16" s="24"/>
      <c r="N16" s="39"/>
      <c r="O16" s="89"/>
      <c r="P16" s="89"/>
      <c r="Q16" s="54"/>
      <c r="R16" s="36"/>
      <c r="S16" s="90"/>
      <c r="T16" s="90"/>
      <c r="U16" s="55"/>
      <c r="V16" s="37"/>
    </row>
    <row r="17" spans="1:22" s="31" customFormat="1" ht="39" customHeight="1" x14ac:dyDescent="0.3">
      <c r="A17" s="24"/>
      <c r="B17" s="40"/>
      <c r="C17" s="89"/>
      <c r="D17" s="89"/>
      <c r="E17" s="54"/>
      <c r="F17" s="55"/>
      <c r="G17" s="90"/>
      <c r="H17" s="90"/>
      <c r="I17" s="55"/>
      <c r="J17" s="37"/>
      <c r="K17" s="38"/>
      <c r="L17" s="37"/>
      <c r="M17" s="24"/>
      <c r="N17" s="40">
        <f t="shared" ref="N17:O20" si="1">B17</f>
        <v>0</v>
      </c>
      <c r="O17" s="89"/>
      <c r="P17" s="89"/>
      <c r="Q17" s="54"/>
      <c r="R17" s="55"/>
      <c r="S17" s="90"/>
      <c r="T17" s="90"/>
      <c r="U17" s="55"/>
      <c r="V17" s="37"/>
    </row>
    <row r="18" spans="1:22" s="31" customFormat="1" ht="39" customHeight="1" x14ac:dyDescent="0.3">
      <c r="A18" s="24"/>
      <c r="B18" s="40"/>
      <c r="C18" s="89"/>
      <c r="D18" s="89"/>
      <c r="E18" s="54"/>
      <c r="F18" s="55"/>
      <c r="G18" s="90"/>
      <c r="H18" s="90"/>
      <c r="I18" s="55"/>
      <c r="J18" s="37"/>
      <c r="K18" s="38"/>
      <c r="L18" s="37"/>
      <c r="M18" s="24"/>
      <c r="N18" s="40">
        <f t="shared" si="1"/>
        <v>0</v>
      </c>
      <c r="O18" s="89"/>
      <c r="P18" s="89"/>
      <c r="Q18" s="54"/>
      <c r="R18" s="55"/>
      <c r="S18" s="90"/>
      <c r="T18" s="90"/>
      <c r="U18" s="55"/>
      <c r="V18" s="37"/>
    </row>
    <row r="19" spans="1:22" s="31" customFormat="1" ht="39" customHeight="1" x14ac:dyDescent="0.3">
      <c r="A19" s="24"/>
      <c r="B19" s="40"/>
      <c r="C19" s="89"/>
      <c r="D19" s="89"/>
      <c r="E19" s="54"/>
      <c r="F19" s="55"/>
      <c r="G19" s="90"/>
      <c r="H19" s="90"/>
      <c r="I19" s="55"/>
      <c r="J19" s="37"/>
      <c r="K19" s="38"/>
      <c r="L19" s="37"/>
      <c r="M19" s="24"/>
      <c r="N19" s="40">
        <f t="shared" si="1"/>
        <v>0</v>
      </c>
      <c r="O19" s="89"/>
      <c r="P19" s="89"/>
      <c r="Q19" s="54"/>
      <c r="R19" s="55"/>
      <c r="S19" s="90"/>
      <c r="T19" s="90"/>
      <c r="U19" s="55"/>
      <c r="V19" s="37"/>
    </row>
    <row r="20" spans="1:22" s="31" customFormat="1" ht="39" customHeight="1" x14ac:dyDescent="0.3">
      <c r="A20" s="24"/>
      <c r="B20" s="40"/>
      <c r="C20" s="89"/>
      <c r="D20" s="89"/>
      <c r="E20" s="54"/>
      <c r="F20" s="55"/>
      <c r="G20" s="90"/>
      <c r="H20" s="90"/>
      <c r="I20" s="55"/>
      <c r="J20" s="37"/>
      <c r="K20" s="38"/>
      <c r="L20" s="37"/>
      <c r="M20" s="24"/>
      <c r="N20" s="40">
        <f t="shared" si="1"/>
        <v>0</v>
      </c>
      <c r="O20" s="89">
        <f t="shared" si="1"/>
        <v>0</v>
      </c>
      <c r="P20" s="89"/>
      <c r="Q20" s="54">
        <f>E20</f>
        <v>0</v>
      </c>
      <c r="R20" s="55"/>
      <c r="S20" s="90"/>
      <c r="T20" s="90"/>
      <c r="U20" s="55"/>
      <c r="V20" s="37"/>
    </row>
    <row r="21" spans="1:22" s="31" customFormat="1" ht="20.100000000000001" customHeight="1" x14ac:dyDescent="0.3">
      <c r="A21" s="24"/>
      <c r="B21" s="72" t="s">
        <v>23</v>
      </c>
      <c r="C21" s="91"/>
      <c r="D21" s="73"/>
      <c r="E21" s="50"/>
      <c r="F21" s="54"/>
      <c r="G21" s="93">
        <f>SUM(G11:H20)</f>
        <v>8130200</v>
      </c>
      <c r="H21" s="73"/>
      <c r="I21" s="41">
        <f>SUM(I11:I20)</f>
        <v>813020</v>
      </c>
      <c r="J21" s="42"/>
      <c r="K21" s="43"/>
      <c r="L21" s="42"/>
      <c r="M21" s="24"/>
      <c r="N21" s="72" t="s">
        <v>23</v>
      </c>
      <c r="O21" s="91"/>
      <c r="P21" s="73"/>
      <c r="Q21" s="50">
        <f>E21</f>
        <v>0</v>
      </c>
      <c r="R21" s="54"/>
      <c r="S21" s="93">
        <f>SUM(S11:T20)</f>
        <v>8130200</v>
      </c>
      <c r="T21" s="73"/>
      <c r="U21" s="41">
        <f>SUM(U11:U20)</f>
        <v>813020</v>
      </c>
      <c r="V21" s="42"/>
    </row>
    <row r="22" spans="1:22" s="31" customFormat="1" ht="20.100000000000001" customHeight="1" x14ac:dyDescent="0.3">
      <c r="A22" s="24"/>
      <c r="B22" s="54" t="s">
        <v>24</v>
      </c>
      <c r="C22" s="54"/>
      <c r="D22" s="44" t="s">
        <v>25</v>
      </c>
      <c r="E22" s="45"/>
      <c r="F22" s="94">
        <f>F11+(F11*0.1)</f>
        <v>8943220</v>
      </c>
      <c r="G22" s="71"/>
      <c r="H22" s="71"/>
      <c r="I22" s="95"/>
      <c r="J22" s="46"/>
      <c r="K22" s="47"/>
      <c r="L22" s="46"/>
      <c r="M22" s="24"/>
      <c r="N22" s="54" t="s">
        <v>24</v>
      </c>
      <c r="O22" s="54"/>
      <c r="P22" s="44" t="s">
        <v>25</v>
      </c>
      <c r="Q22" s="45"/>
      <c r="R22" s="94">
        <f>S9</f>
        <v>8943220</v>
      </c>
      <c r="S22" s="71"/>
      <c r="T22" s="71"/>
      <c r="U22" s="95"/>
      <c r="V22" s="46"/>
    </row>
    <row r="23" spans="1:22" s="31" customFormat="1" ht="20.100000000000001" customHeight="1" x14ac:dyDescent="0.3">
      <c r="A23" s="24"/>
      <c r="B23" s="54" t="s">
        <v>26</v>
      </c>
      <c r="C23" s="54"/>
      <c r="D23" s="54" t="s">
        <v>27</v>
      </c>
      <c r="E23" s="54"/>
      <c r="F23" s="54"/>
      <c r="G23" s="54" t="s">
        <v>28</v>
      </c>
      <c r="H23" s="91"/>
      <c r="I23" s="73"/>
      <c r="J23" s="32"/>
      <c r="K23" s="33"/>
      <c r="L23" s="32"/>
      <c r="M23" s="24"/>
      <c r="N23" s="54" t="s">
        <v>26</v>
      </c>
      <c r="O23" s="54"/>
      <c r="P23" s="54" t="s">
        <v>27</v>
      </c>
      <c r="Q23" s="54"/>
      <c r="R23" s="54"/>
      <c r="S23" s="54" t="s">
        <v>28</v>
      </c>
      <c r="T23" s="91"/>
      <c r="U23" s="73"/>
      <c r="V23" s="32"/>
    </row>
    <row r="24" spans="1:22" ht="30" customHeight="1" x14ac:dyDescent="0.3">
      <c r="A24" s="22"/>
      <c r="B24" s="92" t="s">
        <v>36</v>
      </c>
      <c r="C24" s="92"/>
      <c r="D24" s="92"/>
      <c r="E24" s="92"/>
      <c r="F24" s="92"/>
      <c r="G24" s="92"/>
      <c r="H24" s="92"/>
      <c r="I24" s="92"/>
      <c r="J24" s="48"/>
      <c r="K24" s="5"/>
      <c r="L24" s="6"/>
      <c r="M24" s="22"/>
      <c r="N24" s="92" t="str">
        <f>B24</f>
        <v xml:space="preserve">PO </v>
      </c>
      <c r="O24" s="92"/>
      <c r="P24" s="92"/>
      <c r="Q24" s="92"/>
      <c r="R24" s="92"/>
      <c r="S24" s="92"/>
      <c r="T24" s="92"/>
      <c r="U24" s="92"/>
      <c r="V24" s="48"/>
    </row>
  </sheetData>
  <mergeCells count="76">
    <mergeCell ref="H23:I23"/>
    <mergeCell ref="T23:U23"/>
    <mergeCell ref="B24:I24"/>
    <mergeCell ref="N24:U24"/>
    <mergeCell ref="B21:D21"/>
    <mergeCell ref="G21:H21"/>
    <mergeCell ref="N21:P21"/>
    <mergeCell ref="S21:T21"/>
    <mergeCell ref="F22:I22"/>
    <mergeCell ref="R22:U22"/>
    <mergeCell ref="C19:D19"/>
    <mergeCell ref="G19:H19"/>
    <mergeCell ref="O19:P19"/>
    <mergeCell ref="S19:T19"/>
    <mergeCell ref="C20:D20"/>
    <mergeCell ref="G20:H20"/>
    <mergeCell ref="O20:P20"/>
    <mergeCell ref="S20:T20"/>
    <mergeCell ref="C17:D17"/>
    <mergeCell ref="G17:H17"/>
    <mergeCell ref="O17:P17"/>
    <mergeCell ref="S17:T17"/>
    <mergeCell ref="C18:D18"/>
    <mergeCell ref="G18:H18"/>
    <mergeCell ref="O18:P18"/>
    <mergeCell ref="S18:T18"/>
    <mergeCell ref="C15:D15"/>
    <mergeCell ref="G15:H15"/>
    <mergeCell ref="O15:P15"/>
    <mergeCell ref="S15:T15"/>
    <mergeCell ref="C16:D16"/>
    <mergeCell ref="G16:H16"/>
    <mergeCell ref="O16:P16"/>
    <mergeCell ref="S16:T16"/>
    <mergeCell ref="C13:D13"/>
    <mergeCell ref="G13:H13"/>
    <mergeCell ref="O13:P13"/>
    <mergeCell ref="S13:T13"/>
    <mergeCell ref="C14:D14"/>
    <mergeCell ref="G14:H14"/>
    <mergeCell ref="O14:P14"/>
    <mergeCell ref="S14:T14"/>
    <mergeCell ref="C11:D11"/>
    <mergeCell ref="G11:H11"/>
    <mergeCell ref="O11:P11"/>
    <mergeCell ref="S11:T11"/>
    <mergeCell ref="C12:D12"/>
    <mergeCell ref="F12:H12"/>
    <mergeCell ref="O12:P12"/>
    <mergeCell ref="R12:T12"/>
    <mergeCell ref="G9:H9"/>
    <mergeCell ref="S9:T9"/>
    <mergeCell ref="C10:D10"/>
    <mergeCell ref="G10:H10"/>
    <mergeCell ref="O10:P10"/>
    <mergeCell ref="S10:T10"/>
    <mergeCell ref="D6:E6"/>
    <mergeCell ref="F6:I6"/>
    <mergeCell ref="P6:Q6"/>
    <mergeCell ref="R6:U6"/>
    <mergeCell ref="D7:E7"/>
    <mergeCell ref="H7:I7"/>
    <mergeCell ref="P7:Q7"/>
    <mergeCell ref="T7:U7"/>
    <mergeCell ref="T5:U5"/>
    <mergeCell ref="B3:I3"/>
    <mergeCell ref="N3:U3"/>
    <mergeCell ref="D4:E4"/>
    <mergeCell ref="F4:I4"/>
    <mergeCell ref="P4:Q4"/>
    <mergeCell ref="R4:U4"/>
    <mergeCell ref="B5:C5"/>
    <mergeCell ref="D5:E5"/>
    <mergeCell ref="H5:I5"/>
    <mergeCell ref="N5:O5"/>
    <mergeCell ref="P5:Q5"/>
  </mergeCells>
  <phoneticPr fontId="3" type="noConversion"/>
  <printOptions horizontalCentered="1" verticalCentered="1"/>
  <pageMargins left="0.23622047244094491" right="0.15748031496062992" top="0.15748031496062992" bottom="0.15748031496062992" header="0.23622047244094491" footer="0.19685039370078741"/>
  <pageSetup paperSize="9"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박혜근</cp:lastModifiedBy>
  <cp:lastPrinted>2026-03-17T01:38:06Z</cp:lastPrinted>
  <dcterms:created xsi:type="dcterms:W3CDTF">2017-01-09T01:19:05Z</dcterms:created>
  <dcterms:modified xsi:type="dcterms:W3CDTF">2026-03-20T05:55:53Z</dcterms:modified>
</cp:coreProperties>
</file>