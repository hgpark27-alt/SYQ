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NO1426\Desktop\"/>
    </mc:Choice>
  </mc:AlternateContent>
  <xr:revisionPtr revIDLastSave="0" documentId="8_{EAAE3FF1-3C48-43BB-BD0D-88E032C133BC}" xr6:coauthVersionLast="47" xr6:coauthVersionMax="47" xr10:uidLastSave="{00000000-0000-0000-0000-000000000000}"/>
  <bookViews>
    <workbookView xWindow="33975" yWindow="-14430" windowWidth="21600" windowHeight="11310" activeTab="1" xr2:uid="{00000000-000D-0000-FFFF-FFFF00000000}"/>
  </bookViews>
  <sheets>
    <sheet name="Sheet3" sheetId="11" r:id="rId1"/>
    <sheet name="SYM3Y (2)" sheetId="67" r:id="rId2"/>
    <sheet name="SYM3Y (3)" sheetId="71" r:id="rId3"/>
  </sheets>
  <externalReferences>
    <externalReference r:id="rId4"/>
    <externalReference r:id="rId5"/>
  </externalReferences>
  <definedNames>
    <definedName name="CPT_Quo" localSheetId="1">#REF!</definedName>
    <definedName name="CPT_Quo" localSheetId="2">#REF!</definedName>
    <definedName name="CPT_Quo">#REF!</definedName>
    <definedName name="Customer">OFFSET([1]list!$B$3,0,0,COUNTA([1]list!$B$3:$B$301),1)</definedName>
    <definedName name="_xlnm.Print_Area" localSheetId="1">'SYM3Y (2)'!$A$1:$AD$32</definedName>
    <definedName name="_xlnm.Print_Area" localSheetId="2">'SYM3Y (3)'!$A$1:$AD$32</definedName>
    <definedName name="SSW">[2]Sheet2!$L$3:$M$11</definedName>
    <definedName name="SYM3_QUO" localSheetId="1">#REF!</definedName>
    <definedName name="SYM3_QUO" localSheetId="2">#REF!</definedName>
    <definedName name="SYM3_QUO">#REF!</definedName>
    <definedName name="원재료명" localSheetId="1">#REF!</definedName>
    <definedName name="원재료명" localSheetId="2">#REF!</definedName>
    <definedName name="원재료명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71" l="1"/>
  <c r="A30" i="67"/>
  <c r="AJ28" i="71" l="1"/>
  <c r="AI28" i="71"/>
  <c r="AJ27" i="71"/>
  <c r="AJ26" i="71"/>
  <c r="AI26" i="71"/>
  <c r="AK25" i="71"/>
  <c r="AK24" i="71"/>
  <c r="AJ24" i="71"/>
  <c r="AJ18" i="71"/>
  <c r="AL16" i="71"/>
  <c r="AM15" i="71"/>
  <c r="AA9" i="71"/>
  <c r="Z29" i="71" l="1"/>
  <c r="AJ28" i="67" l="1"/>
  <c r="AI28" i="67"/>
  <c r="AJ27" i="67"/>
  <c r="AJ26" i="67"/>
  <c r="AI26" i="67"/>
  <c r="AK25" i="67"/>
  <c r="AK24" i="67"/>
  <c r="AJ24" i="67"/>
  <c r="AJ18" i="67"/>
  <c r="AL16" i="67"/>
  <c r="AM15" i="67"/>
  <c r="AA9" i="67"/>
  <c r="Z29" i="67" l="1"/>
</calcChain>
</file>

<file path=xl/sharedStrings.xml><?xml version="1.0" encoding="utf-8"?>
<sst xmlns="http://schemas.openxmlformats.org/spreadsheetml/2006/main" count="185" uniqueCount="98">
  <si>
    <t>0022-37080</t>
  </si>
  <si>
    <t>0042-05083</t>
  </si>
  <si>
    <t>0022-75677</t>
  </si>
  <si>
    <t>0041-90314</t>
  </si>
  <si>
    <t>TSGD</t>
  </si>
  <si>
    <t>SLD</t>
  </si>
  <si>
    <t>Price Book</t>
  </si>
  <si>
    <t>0200-15120
(83a=1set)</t>
  </si>
  <si>
    <t>원가</t>
  </si>
  <si>
    <t>PN</t>
  </si>
  <si>
    <t>PO#</t>
  </si>
  <si>
    <t>PD</t>
  </si>
  <si>
    <t>SN</t>
  </si>
  <si>
    <t>Cathode</t>
  </si>
  <si>
    <t>Center Nozzle</t>
  </si>
  <si>
    <t>Plasma Screen</t>
  </si>
  <si>
    <t>Side Nozzle</t>
  </si>
  <si>
    <t>Packing List</t>
    <phoneticPr fontId="4" type="noConversion"/>
  </si>
  <si>
    <t>Incoming Date</t>
    <phoneticPr fontId="4" type="noConversion"/>
  </si>
  <si>
    <t>Remark</t>
    <phoneticPr fontId="4" type="noConversion"/>
  </si>
  <si>
    <t>QUOTATION</t>
    <phoneticPr fontId="11" type="noConversion"/>
  </si>
  <si>
    <t>PAGE 1 OF 1</t>
    <phoneticPr fontId="11" type="noConversion"/>
  </si>
  <si>
    <t>Prepared by</t>
    <phoneticPr fontId="11" type="noConversion"/>
  </si>
  <si>
    <t>SY Kim</t>
    <phoneticPr fontId="4" type="noConversion"/>
  </si>
  <si>
    <t>Quo. No</t>
    <phoneticPr fontId="19" type="noConversion"/>
  </si>
  <si>
    <t>Date</t>
    <phoneticPr fontId="19" type="noConversion"/>
  </si>
  <si>
    <t>Country of Origin</t>
    <phoneticPr fontId="19" type="noConversion"/>
  </si>
  <si>
    <t>South KOREA</t>
    <phoneticPr fontId="19" type="noConversion"/>
  </si>
  <si>
    <t>Validity</t>
    <phoneticPr fontId="19" type="noConversion"/>
  </si>
  <si>
    <t>3 months</t>
    <phoneticPr fontId="19" type="noConversion"/>
  </si>
  <si>
    <t>Manufacturer</t>
    <phoneticPr fontId="19" type="noConversion"/>
  </si>
  <si>
    <t>IONES.ltd</t>
    <phoneticPr fontId="19" type="noConversion"/>
  </si>
  <si>
    <t>Destination</t>
    <phoneticPr fontId="19" type="noConversion"/>
  </si>
  <si>
    <t>as requested</t>
    <phoneticPr fontId="19" type="noConversion"/>
  </si>
  <si>
    <t>Lead Time</t>
    <phoneticPr fontId="19" type="noConversion"/>
  </si>
  <si>
    <t>3 weeks</t>
    <phoneticPr fontId="19" type="noConversion"/>
  </si>
  <si>
    <t>Shipping Terms</t>
    <phoneticPr fontId="19" type="noConversion"/>
  </si>
  <si>
    <t>Ex-works</t>
    <phoneticPr fontId="19" type="noConversion"/>
  </si>
  <si>
    <t>ICPMS</t>
    <phoneticPr fontId="4" type="noConversion"/>
  </si>
  <si>
    <t>LPC</t>
    <phoneticPr fontId="4" type="noConversion"/>
  </si>
  <si>
    <t>Payment Terms</t>
    <phoneticPr fontId="11" type="noConversion"/>
  </si>
  <si>
    <t>TT Net 5 days after shipment</t>
    <phoneticPr fontId="11" type="noConversion"/>
  </si>
  <si>
    <t>Raw materials Terms</t>
    <phoneticPr fontId="11" type="noConversion"/>
  </si>
  <si>
    <t>N/A</t>
    <phoneticPr fontId="19" type="noConversion"/>
  </si>
  <si>
    <t>We are pleased to offer you the undermentioned goods on the terms and conditions described as follows:</t>
    <phoneticPr fontId="11" type="noConversion"/>
  </si>
  <si>
    <t xml:space="preserve">Unit: KRW </t>
    <phoneticPr fontId="4" type="noConversion"/>
  </si>
  <si>
    <t>환율</t>
    <phoneticPr fontId="11" type="noConversion"/>
  </si>
  <si>
    <t xml:space="preserve">  NO. </t>
    <phoneticPr fontId="19" type="noConversion"/>
  </si>
  <si>
    <t>Part No</t>
    <phoneticPr fontId="22" type="noConversion"/>
  </si>
  <si>
    <t>Description</t>
    <phoneticPr fontId="19" type="noConversion"/>
  </si>
  <si>
    <t>Q`ty</t>
    <phoneticPr fontId="11" type="noConversion"/>
  </si>
  <si>
    <t>Rework(B/S Recoating) / LID Recoating</t>
    <phoneticPr fontId="4" type="noConversion"/>
  </si>
  <si>
    <t>ICPMS</t>
    <phoneticPr fontId="22" type="noConversion"/>
  </si>
  <si>
    <t>LPC</t>
    <phoneticPr fontId="22" type="noConversion"/>
  </si>
  <si>
    <t>Extended 
Amount</t>
    <phoneticPr fontId="22" type="noConversion"/>
  </si>
  <si>
    <t>Remark</t>
    <phoneticPr fontId="19" type="noConversion"/>
  </si>
  <si>
    <t>BS Recoating</t>
    <phoneticPr fontId="11" type="noConversion"/>
  </si>
  <si>
    <t xml:space="preserve">
</t>
    <phoneticPr fontId="11" type="noConversion"/>
  </si>
  <si>
    <t>(Rework 원가: 이천 퍼니스 21만원 + 운송료 10만원 =35민원</t>
    <phoneticPr fontId="11" type="noConversion"/>
  </si>
  <si>
    <t>0200-15111</t>
    <phoneticPr fontId="11" type="noConversion"/>
  </si>
  <si>
    <t>Total</t>
    <phoneticPr fontId="11" type="noConversion"/>
  </si>
  <si>
    <t>0200-17989</t>
    <phoneticPr fontId="11" type="noConversion"/>
  </si>
  <si>
    <t>0200-23083</t>
    <phoneticPr fontId="11" type="noConversion"/>
  </si>
  <si>
    <r>
      <rPr>
        <b/>
        <sz val="10"/>
        <color indexed="10"/>
        <rFont val="맑은 고딕"/>
        <family val="3"/>
        <charset val="129"/>
      </rPr>
      <t xml:space="preserve">Attn:   </t>
    </r>
    <r>
      <rPr>
        <b/>
        <sz val="16"/>
        <color rgb="FF0070C0"/>
        <rFont val="맑은 고딕"/>
        <family val="3"/>
        <charset val="129"/>
      </rPr>
      <t>Minhee Seo</t>
    </r>
    <r>
      <rPr>
        <b/>
        <sz val="10"/>
        <rFont val="맑은 고딕"/>
        <family val="3"/>
        <charset val="129"/>
      </rPr>
      <t xml:space="preserve">
AMK TKM Operations | SFO | OCE | Applied Materials Korea 
Office +82 31 724 7906 | Mobile +82 10 9944 8306 | 
Fax +82 31 724 6666 | Tie Line 1 700 7906 |</t>
    </r>
    <phoneticPr fontId="11" type="noConversion"/>
  </si>
  <si>
    <t>8EA</t>
  </si>
  <si>
    <t>Unit Price</t>
    <phoneticPr fontId="22" type="noConversion"/>
  </si>
  <si>
    <t>Kit ID</t>
    <phoneticPr fontId="4" type="noConversion"/>
  </si>
  <si>
    <t xml:space="preserve">HUB,CENTER </t>
  </si>
  <si>
    <t>KIT#</t>
    <phoneticPr fontId="4" type="noConversion"/>
  </si>
  <si>
    <t>Hub 미입고</t>
    <phoneticPr fontId="4" type="noConversion"/>
  </si>
  <si>
    <t xml:space="preserve">Remark = </t>
    <phoneticPr fontId="4" type="noConversion"/>
  </si>
  <si>
    <t>0041-90314</t>
    <phoneticPr fontId="4" type="noConversion"/>
  </si>
  <si>
    <t>0042-05083</t>
    <phoneticPr fontId="4" type="noConversion"/>
  </si>
  <si>
    <t>0200-15111</t>
    <phoneticPr fontId="4" type="noConversion"/>
  </si>
  <si>
    <t>0022-75677</t>
    <phoneticPr fontId="4" type="noConversion"/>
  </si>
  <si>
    <t>0022-37080</t>
    <phoneticPr fontId="4" type="noConversion"/>
  </si>
  <si>
    <t>0200-15120</t>
    <phoneticPr fontId="4" type="noConversion"/>
  </si>
  <si>
    <t>LID</t>
    <phoneticPr fontId="4" type="noConversion"/>
  </si>
  <si>
    <t>0200-23083</t>
    <phoneticPr fontId="4" type="noConversion"/>
  </si>
  <si>
    <t>0200-17989</t>
    <phoneticPr fontId="4" type="noConversion"/>
  </si>
  <si>
    <t>0247-06973</t>
    <phoneticPr fontId="4" type="noConversion"/>
  </si>
  <si>
    <t>0247-06765</t>
    <phoneticPr fontId="4" type="noConversion"/>
  </si>
  <si>
    <t>C-SYM3Y-068</t>
  </si>
  <si>
    <t>C-SYM3Y-077</t>
  </si>
  <si>
    <t>9000153067-0224-5276</t>
    <phoneticPr fontId="4" type="noConversion"/>
  </si>
  <si>
    <t>9000153067-0224-0057</t>
    <phoneticPr fontId="4" type="noConversion"/>
  </si>
  <si>
    <t>WIC2442-2248</t>
    <phoneticPr fontId="4" type="noConversion"/>
  </si>
  <si>
    <t>9000153067-0224-0024</t>
    <phoneticPr fontId="4" type="noConversion"/>
  </si>
  <si>
    <t>9000153067-0224-0079</t>
    <phoneticPr fontId="4" type="noConversion"/>
  </si>
  <si>
    <t>601-0323-45</t>
    <phoneticPr fontId="4" type="noConversion"/>
  </si>
  <si>
    <t>301626-4222-4921</t>
    <phoneticPr fontId="4" type="noConversion"/>
  </si>
  <si>
    <t>9000153067-4723-0090</t>
    <phoneticPr fontId="4" type="noConversion"/>
  </si>
  <si>
    <t>9000173732-1725-A002</t>
    <phoneticPr fontId="4" type="noConversion"/>
  </si>
  <si>
    <t>301626-4523-0003</t>
    <phoneticPr fontId="4" type="noConversion"/>
  </si>
  <si>
    <t>9000153067-4723-0043</t>
    <phoneticPr fontId="4" type="noConversion"/>
  </si>
  <si>
    <t>601-2322-599</t>
    <phoneticPr fontId="4" type="noConversion"/>
  </si>
  <si>
    <t>SERVICE KIT, ETCH, 300MM SYM3Y, Draco
0247-06765B_ PO No. 4522764472</t>
    <phoneticPr fontId="4" type="noConversion"/>
  </si>
  <si>
    <t>260608-C10-01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</si>
</sst>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6" formatCode="[$£-809]#,##0_);[Red]\([$£-809]#,##0\)"/>
    <numFmt numFmtId="177" formatCode="[$-409]mmmm\ d\,\ yyyy;@"/>
    <numFmt numFmtId="178" formatCode="mmm&quot;.&quot;dd&quot;,&quot;&quot;'&quot;yy"/>
    <numFmt numFmtId="179" formatCode="&quot;$&quot;#,##0.00"/>
    <numFmt numFmtId="180" formatCode="&quot;₩&quot;#,##0_);[Red]\(&quot;₩&quot;#,##0\)"/>
    <numFmt numFmtId="181" formatCode="&quot;₩&quot;#,##0_);\(&quot;₩&quot;#,##0\)"/>
    <numFmt numFmtId="182" formatCode="\$#,##0.00"/>
    <numFmt numFmtId="183" formatCode="_-\$* #,##0.00_ ;_-\$* \-#,##0.00\ ;_-\$* &quot;-&quot;??_ ;_-@_ "/>
    <numFmt numFmtId="184" formatCode="_(&quot;$&quot;* #,##0.00_);_(&quot;$&quot;* \(#,##0.00\);_(&quot;$&quot;* &quot;-&quot;??_);_(@_)"/>
    <numFmt numFmtId="185" formatCode="[$-409]d/mmm/yyyy;@"/>
    <numFmt numFmtId="186" formatCode="_-[$₩-412]* #,##0_-;\-[$₩-412]* #,##0_-;_-[$₩-412]* &quot;-&quot;??_-;_-@_-"/>
    <numFmt numFmtId="187" formatCode="_-[$$-409]* #,##0.00_ ;_-[$$-409]* \-#,##0.00\ ;_-[$$-409]* &quot;-&quot;??_ ;_-@_ "/>
    <numFmt numFmtId="188" formatCode="&quot;₩&quot;#,##0.00_);[Red]\(&quot;₩&quot;#,##0.00\)"/>
  </numFmts>
  <fonts count="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valon"/>
      <family val="1"/>
    </font>
    <font>
      <b/>
      <sz val="15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b/>
      <i/>
      <sz val="10"/>
      <name val="맑은 고딕"/>
      <family val="3"/>
      <charset val="129"/>
    </font>
    <font>
      <sz val="11"/>
      <name val="돋움"/>
      <family val="3"/>
      <charset val="129"/>
    </font>
    <font>
      <i/>
      <sz val="11"/>
      <name val="맑은 고딕"/>
      <family val="3"/>
      <charset val="129"/>
    </font>
    <font>
      <b/>
      <sz val="24"/>
      <color rgb="FF0070C0"/>
      <name val="맑은 고딕"/>
      <family val="3"/>
      <charset val="129"/>
    </font>
    <font>
      <sz val="8"/>
      <name val="맑은 고딕"/>
      <family val="3"/>
      <charset val="129"/>
    </font>
    <font>
      <b/>
      <sz val="1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b/>
      <sz val="16"/>
      <color rgb="FF0070C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b/>
      <sz val="10"/>
      <name val="Vogue"/>
      <family val="2"/>
    </font>
    <font>
      <sz val="9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바탕"/>
      <family val="1"/>
      <charset val="129"/>
    </font>
    <font>
      <b/>
      <sz val="12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b/>
      <sz val="12"/>
      <color rgb="FF0000FF"/>
      <name val="Calibri"/>
      <family val="2"/>
    </font>
    <font>
      <b/>
      <sz val="16"/>
      <name val="Calibri"/>
      <family val="2"/>
    </font>
    <font>
      <b/>
      <sz val="14"/>
      <color rgb="FF0033CC"/>
      <name val="Calibri"/>
      <family val="2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0"/>
      <name val="Calibri"/>
      <family val="2"/>
    </font>
    <font>
      <b/>
      <sz val="9"/>
      <color rgb="FFFFFFFF"/>
      <name val="맑은 고딕"/>
      <family val="3"/>
      <charset val="129"/>
      <scheme val="minor"/>
    </font>
    <font>
      <sz val="12"/>
      <name val="돋움"/>
      <family val="3"/>
      <charset val="129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8" fillId="0" borderId="0"/>
    <xf numFmtId="0" fontId="24" fillId="0" borderId="0">
      <alignment vertical="center"/>
    </xf>
    <xf numFmtId="0" fontId="8" fillId="0" borderId="0">
      <alignment vertical="center"/>
    </xf>
    <xf numFmtId="184" fontId="31" fillId="0" borderId="0" applyFont="0" applyFill="0" applyBorder="0" applyAlignment="0" applyProtection="0"/>
    <xf numFmtId="185" fontId="24" fillId="0" borderId="0">
      <alignment vertical="center"/>
    </xf>
    <xf numFmtId="0" fontId="31" fillId="0" borderId="0"/>
    <xf numFmtId="42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6" fillId="0" borderId="0"/>
    <xf numFmtId="0" fontId="1" fillId="0" borderId="0">
      <alignment vertical="center"/>
    </xf>
  </cellStyleXfs>
  <cellXfs count="181">
    <xf numFmtId="0" fontId="0" fillId="0" borderId="0" xfId="0">
      <alignment vertical="center"/>
    </xf>
    <xf numFmtId="0" fontId="5" fillId="0" borderId="0" xfId="2" applyFont="1"/>
    <xf numFmtId="0" fontId="7" fillId="0" borderId="0" xfId="2" applyFont="1" applyAlignment="1">
      <alignment horizontal="left"/>
    </xf>
    <xf numFmtId="0" fontId="9" fillId="0" borderId="0" xfId="3" applyFont="1" applyAlignment="1">
      <alignment horizontal="left"/>
    </xf>
    <xf numFmtId="176" fontId="5" fillId="0" borderId="0" xfId="2" applyNumberFormat="1" applyFont="1"/>
    <xf numFmtId="0" fontId="12" fillId="0" borderId="0" xfId="3" applyFont="1"/>
    <xf numFmtId="0" fontId="6" fillId="0" borderId="0" xfId="3" applyFont="1"/>
    <xf numFmtId="178" fontId="5" fillId="0" borderId="0" xfId="2" applyNumberFormat="1" applyFont="1"/>
    <xf numFmtId="179" fontId="5" fillId="0" borderId="0" xfId="2" applyNumberFormat="1" applyFont="1"/>
    <xf numFmtId="0" fontId="20" fillId="0" borderId="0" xfId="2" applyFont="1"/>
    <xf numFmtId="0" fontId="20" fillId="0" borderId="0" xfId="2" quotePrefix="1" applyFont="1"/>
    <xf numFmtId="176" fontId="20" fillId="0" borderId="0" xfId="2" applyNumberFormat="1" applyFont="1"/>
    <xf numFmtId="0" fontId="6" fillId="0" borderId="0" xfId="2" applyFont="1" applyAlignment="1">
      <alignment vertical="center"/>
    </xf>
    <xf numFmtId="0" fontId="6" fillId="0" borderId="0" xfId="2" applyFont="1"/>
    <xf numFmtId="0" fontId="6" fillId="0" borderId="19" xfId="2" applyFont="1" applyBorder="1" applyAlignment="1">
      <alignment horizontal="left" vertical="center"/>
    </xf>
    <xf numFmtId="0" fontId="21" fillId="0" borderId="19" xfId="2" applyFont="1" applyBorder="1" applyAlignment="1">
      <alignment horizontal="left" vertical="center" indent="1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/>
    </xf>
    <xf numFmtId="0" fontId="21" fillId="0" borderId="0" xfId="2" applyFont="1" applyAlignment="1">
      <alignment vertical="center" wrapText="1"/>
    </xf>
    <xf numFmtId="0" fontId="21" fillId="0" borderId="0" xfId="2" applyFont="1" applyAlignment="1">
      <alignment vertical="center"/>
    </xf>
    <xf numFmtId="0" fontId="26" fillId="0" borderId="25" xfId="5" applyFont="1" applyBorder="1" applyAlignment="1">
      <alignment horizontal="center" vertical="center"/>
    </xf>
    <xf numFmtId="179" fontId="20" fillId="0" borderId="0" xfId="2" applyNumberFormat="1" applyFont="1"/>
    <xf numFmtId="0" fontId="16" fillId="0" borderId="1" xfId="2" applyFont="1" applyBorder="1" applyAlignment="1">
      <alignment vertical="center"/>
    </xf>
    <xf numFmtId="0" fontId="17" fillId="0" borderId="1" xfId="2" applyFont="1" applyBorder="1" applyAlignment="1">
      <alignment vertical="center"/>
    </xf>
    <xf numFmtId="0" fontId="18" fillId="0" borderId="2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18" fillId="0" borderId="0" xfId="2" applyFont="1" applyAlignment="1">
      <alignment vertical="center"/>
    </xf>
    <xf numFmtId="26" fontId="25" fillId="4" borderId="25" xfId="1" applyNumberFormat="1" applyFont="1" applyFill="1" applyBorder="1" applyAlignment="1"/>
    <xf numFmtId="0" fontId="18" fillId="0" borderId="3" xfId="2" applyFont="1" applyBorder="1" applyAlignment="1">
      <alignment horizontal="left"/>
    </xf>
    <xf numFmtId="0" fontId="17" fillId="0" borderId="3" xfId="2" applyFont="1" applyBorder="1"/>
    <xf numFmtId="0" fontId="18" fillId="0" borderId="0" xfId="2" applyFont="1"/>
    <xf numFmtId="0" fontId="18" fillId="0" borderId="0" xfId="3" applyFont="1"/>
    <xf numFmtId="176" fontId="17" fillId="0" borderId="0" xfId="2" applyNumberFormat="1" applyFont="1" applyAlignment="1">
      <alignment horizontal="left"/>
    </xf>
    <xf numFmtId="176" fontId="21" fillId="0" borderId="5" xfId="2" applyNumberFormat="1" applyFont="1" applyBorder="1" applyAlignment="1">
      <alignment vertical="center"/>
    </xf>
    <xf numFmtId="176" fontId="21" fillId="0" borderId="8" xfId="2" applyNumberFormat="1" applyFont="1" applyBorder="1" applyAlignment="1">
      <alignment vertical="center"/>
    </xf>
    <xf numFmtId="176" fontId="21" fillId="0" borderId="10" xfId="2" applyNumberFormat="1" applyFont="1" applyBorder="1" applyAlignment="1">
      <alignment vertical="center"/>
    </xf>
    <xf numFmtId="176" fontId="21" fillId="0" borderId="13" xfId="2" applyNumberFormat="1" applyFont="1" applyBorder="1" applyAlignment="1">
      <alignment vertical="center"/>
    </xf>
    <xf numFmtId="176" fontId="21" fillId="0" borderId="15" xfId="2" applyNumberFormat="1" applyFont="1" applyBorder="1" applyAlignment="1">
      <alignment vertical="center"/>
    </xf>
    <xf numFmtId="176" fontId="21" fillId="0" borderId="18" xfId="2" applyNumberFormat="1" applyFont="1" applyBorder="1" applyAlignment="1">
      <alignment vertical="center"/>
    </xf>
    <xf numFmtId="176" fontId="21" fillId="0" borderId="7" xfId="2" applyNumberFormat="1" applyFont="1" applyBorder="1" applyAlignment="1">
      <alignment horizontal="left" vertical="center" indent="2"/>
    </xf>
    <xf numFmtId="176" fontId="21" fillId="0" borderId="12" xfId="2" applyNumberFormat="1" applyFont="1" applyBorder="1" applyAlignment="1">
      <alignment horizontal="left" vertical="center" indent="2"/>
    </xf>
    <xf numFmtId="176" fontId="21" fillId="0" borderId="17" xfId="2" applyNumberFormat="1" applyFont="1" applyBorder="1" applyAlignment="1">
      <alignment horizontal="left" vertical="center" indent="2"/>
    </xf>
    <xf numFmtId="26" fontId="6" fillId="0" borderId="0" xfId="2" applyNumberFormat="1" applyFont="1"/>
    <xf numFmtId="0" fontId="21" fillId="0" borderId="0" xfId="2" applyFont="1" applyAlignment="1">
      <alignment horizontal="center" vertical="center" wrapText="1"/>
    </xf>
    <xf numFmtId="0" fontId="21" fillId="0" borderId="2" xfId="2" applyFont="1" applyBorder="1" applyAlignment="1">
      <alignment horizontal="center" vertical="center" wrapText="1"/>
    </xf>
    <xf numFmtId="182" fontId="21" fillId="0" borderId="0" xfId="2" applyNumberFormat="1" applyFont="1" applyAlignment="1">
      <alignment vertical="center" wrapText="1"/>
    </xf>
    <xf numFmtId="26" fontId="18" fillId="0" borderId="0" xfId="2" applyNumberFormat="1" applyFont="1"/>
    <xf numFmtId="183" fontId="21" fillId="0" borderId="0" xfId="2" applyNumberFormat="1" applyFont="1" applyAlignment="1">
      <alignment horizontal="center" vertical="center" wrapText="1"/>
    </xf>
    <xf numFmtId="176" fontId="23" fillId="2" borderId="19" xfId="2" applyNumberFormat="1" applyFont="1" applyFill="1" applyBorder="1" applyAlignment="1">
      <alignment horizontal="center" vertical="center" wrapText="1"/>
    </xf>
    <xf numFmtId="0" fontId="21" fillId="0" borderId="2" xfId="2" applyFont="1" applyBorder="1" applyAlignment="1">
      <alignment vertical="center" wrapText="1"/>
    </xf>
    <xf numFmtId="41" fontId="21" fillId="0" borderId="0" xfId="1" applyFont="1" applyFill="1" applyAlignment="1">
      <alignment horizontal="center" vertical="center" wrapText="1"/>
    </xf>
    <xf numFmtId="0" fontId="21" fillId="4" borderId="0" xfId="2" applyFont="1" applyFill="1" applyAlignment="1">
      <alignment vertical="center" wrapText="1"/>
    </xf>
    <xf numFmtId="2" fontId="21" fillId="4" borderId="0" xfId="2" applyNumberFormat="1" applyFont="1" applyFill="1" applyAlignment="1">
      <alignment vertical="center" wrapText="1"/>
    </xf>
    <xf numFmtId="0" fontId="25" fillId="3" borderId="33" xfId="0" applyFont="1" applyFill="1" applyBorder="1" applyAlignment="1">
      <alignment horizontal="center" vertical="center"/>
    </xf>
    <xf numFmtId="0" fontId="25" fillId="3" borderId="36" xfId="0" applyFont="1" applyFill="1" applyBorder="1" applyAlignment="1">
      <alignment horizontal="center" vertical="center"/>
    </xf>
    <xf numFmtId="0" fontId="25" fillId="3" borderId="25" xfId="0" applyFont="1" applyFill="1" applyBorder="1" applyAlignment="1">
      <alignment horizontal="center" vertical="center"/>
    </xf>
    <xf numFmtId="0" fontId="25" fillId="3" borderId="33" xfId="0" applyFont="1" applyFill="1" applyBorder="1" applyAlignment="1">
      <alignment horizontal="left" vertical="center" indent="1"/>
    </xf>
    <xf numFmtId="0" fontId="25" fillId="3" borderId="25" xfId="0" applyFont="1" applyFill="1" applyBorder="1" applyAlignment="1">
      <alignment horizontal="left" vertical="center" indent="1"/>
    </xf>
    <xf numFmtId="0" fontId="25" fillId="3" borderId="36" xfId="0" applyFont="1" applyFill="1" applyBorder="1" applyAlignment="1">
      <alignment horizontal="left" vertical="center" indent="1"/>
    </xf>
    <xf numFmtId="0" fontId="21" fillId="4" borderId="2" xfId="2" applyFont="1" applyFill="1" applyBorder="1" applyAlignment="1">
      <alignment vertical="center" wrapText="1"/>
    </xf>
    <xf numFmtId="0" fontId="21" fillId="0" borderId="0" xfId="2" applyFont="1" applyAlignment="1">
      <alignment horizontal="right" vertical="center" wrapText="1"/>
    </xf>
    <xf numFmtId="0" fontId="21" fillId="0" borderId="2" xfId="2" applyFont="1" applyBorder="1" applyAlignment="1">
      <alignment horizontal="right" vertical="center"/>
    </xf>
    <xf numFmtId="0" fontId="17" fillId="0" borderId="1" xfId="2" applyFont="1" applyBorder="1" applyAlignment="1">
      <alignment horizontal="right" vertical="center"/>
    </xf>
    <xf numFmtId="0" fontId="18" fillId="0" borderId="2" xfId="2" applyFont="1" applyBorder="1" applyAlignment="1">
      <alignment horizontal="right" vertical="center"/>
    </xf>
    <xf numFmtId="14" fontId="18" fillId="0" borderId="2" xfId="2" applyNumberFormat="1" applyFont="1" applyBorder="1" applyAlignment="1">
      <alignment horizontal="right" vertical="center"/>
    </xf>
    <xf numFmtId="176" fontId="23" fillId="2" borderId="34" xfId="2" applyNumberFormat="1" applyFont="1" applyFill="1" applyBorder="1" applyAlignment="1">
      <alignment horizontal="center" vertical="center" wrapText="1"/>
    </xf>
    <xf numFmtId="0" fontId="21" fillId="0" borderId="37" xfId="2" applyFont="1" applyBorder="1" applyAlignment="1">
      <alignment horizontal="left" vertical="center" indent="1"/>
    </xf>
    <xf numFmtId="42" fontId="30" fillId="0" borderId="25" xfId="2" applyNumberFormat="1" applyFont="1" applyBorder="1" applyAlignment="1">
      <alignment horizontal="center" vertical="center"/>
    </xf>
    <xf numFmtId="0" fontId="29" fillId="3" borderId="10" xfId="2" applyFont="1" applyFill="1" applyBorder="1" applyAlignment="1">
      <alignment vertical="center" wrapText="1"/>
    </xf>
    <xf numFmtId="0" fontId="29" fillId="3" borderId="13" xfId="2" applyFont="1" applyFill="1" applyBorder="1" applyAlignment="1">
      <alignment vertical="center" wrapText="1"/>
    </xf>
    <xf numFmtId="0" fontId="23" fillId="2" borderId="22" xfId="2" applyFont="1" applyFill="1" applyBorder="1" applyAlignment="1">
      <alignment horizontal="center" vertical="center"/>
    </xf>
    <xf numFmtId="42" fontId="26" fillId="0" borderId="12" xfId="2" applyNumberFormat="1" applyFont="1" applyBorder="1" applyAlignment="1">
      <alignment horizontal="center" vertical="center"/>
    </xf>
    <xf numFmtId="42" fontId="26" fillId="0" borderId="25" xfId="2" applyNumberFormat="1" applyFont="1" applyBorder="1" applyAlignment="1">
      <alignment horizontal="center" vertical="center"/>
    </xf>
    <xf numFmtId="42" fontId="26" fillId="0" borderId="25" xfId="2" applyNumberFormat="1" applyFont="1" applyBorder="1" applyAlignment="1">
      <alignment vertical="center"/>
    </xf>
    <xf numFmtId="0" fontId="25" fillId="5" borderId="36" xfId="0" quotePrefix="1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left" vertical="center" indent="1"/>
    </xf>
    <xf numFmtId="0" fontId="25" fillId="3" borderId="47" xfId="0" applyFont="1" applyFill="1" applyBorder="1" applyAlignment="1">
      <alignment horizontal="center" vertical="center"/>
    </xf>
    <xf numFmtId="0" fontId="25" fillId="3" borderId="36" xfId="0" quotePrefix="1" applyFont="1" applyFill="1" applyBorder="1" applyAlignment="1">
      <alignment horizontal="center" vertical="center"/>
    </xf>
    <xf numFmtId="0" fontId="25" fillId="5" borderId="36" xfId="0" applyFont="1" applyFill="1" applyBorder="1" applyAlignment="1">
      <alignment horizontal="center" vertical="center"/>
    </xf>
    <xf numFmtId="49" fontId="25" fillId="3" borderId="34" xfId="0" applyNumberFormat="1" applyFont="1" applyFill="1" applyBorder="1" applyAlignment="1">
      <alignment horizontal="center" vertical="center"/>
    </xf>
    <xf numFmtId="0" fontId="12" fillId="0" borderId="9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181" fontId="28" fillId="0" borderId="10" xfId="2" applyNumberFormat="1" applyFont="1" applyBorder="1" applyAlignment="1">
      <alignment horizontal="center" vertical="center" wrapText="1"/>
    </xf>
    <xf numFmtId="181" fontId="28" fillId="0" borderId="13" xfId="2" applyNumberFormat="1" applyFont="1" applyBorder="1" applyAlignment="1">
      <alignment horizontal="center" vertical="center" wrapText="1"/>
    </xf>
    <xf numFmtId="0" fontId="18" fillId="0" borderId="26" xfId="2" applyFont="1" applyBorder="1" applyAlignment="1">
      <alignment horizontal="left" wrapText="1" indent="1"/>
    </xf>
    <xf numFmtId="0" fontId="18" fillId="0" borderId="27" xfId="2" applyFont="1" applyBorder="1" applyAlignment="1">
      <alignment horizontal="left" wrapText="1" indent="1"/>
    </xf>
    <xf numFmtId="0" fontId="18" fillId="0" borderId="28" xfId="2" applyFont="1" applyBorder="1" applyAlignment="1">
      <alignment horizontal="left" wrapText="1" indent="1"/>
    </xf>
    <xf numFmtId="0" fontId="18" fillId="0" borderId="29" xfId="2" applyFont="1" applyBorder="1" applyAlignment="1">
      <alignment horizontal="left" vertical="top" wrapText="1" indent="1"/>
    </xf>
    <xf numFmtId="0" fontId="18" fillId="0" borderId="0" xfId="2" applyFont="1" applyAlignment="1">
      <alignment horizontal="left" vertical="top" indent="1"/>
    </xf>
    <xf numFmtId="0" fontId="18" fillId="0" borderId="30" xfId="2" applyFont="1" applyBorder="1" applyAlignment="1">
      <alignment horizontal="left" vertical="top" indent="1"/>
    </xf>
    <xf numFmtId="0" fontId="18" fillId="0" borderId="31" xfId="2" applyFont="1" applyBorder="1" applyAlignment="1">
      <alignment horizontal="left" vertical="top" indent="1"/>
    </xf>
    <xf numFmtId="0" fontId="18" fillId="0" borderId="3" xfId="2" applyFont="1" applyBorder="1" applyAlignment="1">
      <alignment horizontal="left" vertical="top" indent="1"/>
    </xf>
    <xf numFmtId="0" fontId="18" fillId="0" borderId="32" xfId="2" applyFont="1" applyBorder="1" applyAlignment="1">
      <alignment horizontal="left" vertical="top" indent="1"/>
    </xf>
    <xf numFmtId="180" fontId="25" fillId="0" borderId="10" xfId="2" applyNumberFormat="1" applyFont="1" applyBorder="1" applyAlignment="1">
      <alignment horizontal="center" vertical="center" wrapText="1"/>
    </xf>
    <xf numFmtId="180" fontId="25" fillId="0" borderId="13" xfId="2" applyNumberFormat="1" applyFont="1" applyBorder="1" applyAlignment="1">
      <alignment horizontal="center" vertical="center" wrapText="1"/>
    </xf>
    <xf numFmtId="0" fontId="26" fillId="0" borderId="24" xfId="2" applyFont="1" applyBorder="1" applyAlignment="1">
      <alignment horizontal="center" vertical="center" wrapText="1"/>
    </xf>
    <xf numFmtId="0" fontId="26" fillId="0" borderId="25" xfId="2" applyFont="1" applyBorder="1" applyAlignment="1">
      <alignment horizontal="center" vertical="center" wrapText="1"/>
    </xf>
    <xf numFmtId="0" fontId="27" fillId="0" borderId="12" xfId="4" applyFont="1" applyBorder="1" applyAlignment="1">
      <alignment horizontal="center" vertical="center" wrapText="1"/>
    </xf>
    <xf numFmtId="0" fontId="27" fillId="0" borderId="10" xfId="4" applyFont="1" applyBorder="1" applyAlignment="1">
      <alignment horizontal="center" vertical="center" wrapText="1"/>
    </xf>
    <xf numFmtId="0" fontId="27" fillId="0" borderId="11" xfId="4" applyFont="1" applyBorder="1" applyAlignment="1">
      <alignment horizontal="center" vertical="center" wrapText="1"/>
    </xf>
    <xf numFmtId="42" fontId="26" fillId="0" borderId="25" xfId="2" applyNumberFormat="1" applyFont="1" applyBorder="1" applyAlignment="1">
      <alignment horizontal="center" vertical="center"/>
    </xf>
    <xf numFmtId="42" fontId="26" fillId="0" borderId="12" xfId="2" applyNumberFormat="1" applyFont="1" applyBorder="1" applyAlignment="1">
      <alignment horizontal="center" vertical="center"/>
    </xf>
    <xf numFmtId="42" fontId="26" fillId="0" borderId="10" xfId="2" applyNumberFormat="1" applyFont="1" applyBorder="1" applyAlignment="1">
      <alignment horizontal="center" vertical="center"/>
    </xf>
    <xf numFmtId="42" fontId="26" fillId="0" borderId="11" xfId="2" applyNumberFormat="1" applyFont="1" applyBorder="1" applyAlignment="1">
      <alignment horizontal="center" vertical="center"/>
    </xf>
    <xf numFmtId="187" fontId="26" fillId="0" borderId="25" xfId="2" applyNumberFormat="1" applyFont="1" applyBorder="1" applyAlignment="1">
      <alignment horizontal="center" vertical="center"/>
    </xf>
    <xf numFmtId="42" fontId="26" fillId="0" borderId="25" xfId="9" applyFont="1" applyFill="1" applyBorder="1" applyAlignment="1">
      <alignment horizontal="center" vertical="center"/>
    </xf>
    <xf numFmtId="0" fontId="26" fillId="0" borderId="12" xfId="4" applyFont="1" applyBorder="1" applyAlignment="1">
      <alignment horizontal="center" vertical="center" wrapText="1"/>
    </xf>
    <xf numFmtId="0" fontId="26" fillId="0" borderId="10" xfId="4" applyFont="1" applyBorder="1" applyAlignment="1">
      <alignment horizontal="center" vertical="center" wrapText="1"/>
    </xf>
    <xf numFmtId="0" fontId="26" fillId="0" borderId="11" xfId="4" applyFont="1" applyBorder="1" applyAlignment="1">
      <alignment horizontal="center" vertical="center" wrapText="1"/>
    </xf>
    <xf numFmtId="186" fontId="26" fillId="0" borderId="25" xfId="2" applyNumberFormat="1" applyFont="1" applyBorder="1" applyAlignment="1">
      <alignment horizontal="center" vertical="center"/>
    </xf>
    <xf numFmtId="188" fontId="25" fillId="0" borderId="10" xfId="2" applyNumberFormat="1" applyFont="1" applyBorder="1" applyAlignment="1">
      <alignment horizontal="center" vertical="center" wrapText="1"/>
    </xf>
    <xf numFmtId="188" fontId="25" fillId="0" borderId="13" xfId="2" applyNumberFormat="1" applyFont="1" applyBorder="1" applyAlignment="1">
      <alignment horizontal="center" vertical="center" wrapText="1"/>
    </xf>
    <xf numFmtId="0" fontId="29" fillId="3" borderId="9" xfId="2" applyFont="1" applyFill="1" applyBorder="1" applyAlignment="1">
      <alignment horizontal="center" vertical="center" wrapText="1"/>
    </xf>
    <xf numFmtId="0" fontId="29" fillId="3" borderId="10" xfId="2" applyFont="1" applyFill="1" applyBorder="1" applyAlignment="1">
      <alignment horizontal="center" vertical="center" wrapText="1"/>
    </xf>
    <xf numFmtId="0" fontId="29" fillId="3" borderId="13" xfId="2" applyFont="1" applyFill="1" applyBorder="1" applyAlignment="1">
      <alignment horizontal="center" vertical="center" wrapText="1"/>
    </xf>
    <xf numFmtId="0" fontId="21" fillId="0" borderId="19" xfId="2" applyFont="1" applyBorder="1" applyAlignment="1">
      <alignment horizontal="right" vertical="center"/>
    </xf>
    <xf numFmtId="0" fontId="23" fillId="2" borderId="20" xfId="2" applyFont="1" applyFill="1" applyBorder="1" applyAlignment="1">
      <alignment horizontal="center" vertical="center"/>
    </xf>
    <xf numFmtId="0" fontId="23" fillId="2" borderId="19" xfId="2" applyFont="1" applyFill="1" applyBorder="1" applyAlignment="1">
      <alignment horizontal="center" vertical="center"/>
    </xf>
    <xf numFmtId="0" fontId="23" fillId="2" borderId="21" xfId="2" applyFont="1" applyFill="1" applyBorder="1" applyAlignment="1">
      <alignment horizontal="center" vertical="center"/>
    </xf>
    <xf numFmtId="0" fontId="23" fillId="2" borderId="22" xfId="2" applyFont="1" applyFill="1" applyBorder="1" applyAlignment="1">
      <alignment horizontal="center" vertical="center"/>
    </xf>
    <xf numFmtId="176" fontId="23" fillId="2" borderId="22" xfId="2" applyNumberFormat="1" applyFont="1" applyFill="1" applyBorder="1" applyAlignment="1">
      <alignment horizontal="center" vertical="center" wrapText="1"/>
    </xf>
    <xf numFmtId="176" fontId="23" fillId="2" borderId="19" xfId="2" applyNumberFormat="1" applyFont="1" applyFill="1" applyBorder="1" applyAlignment="1">
      <alignment horizontal="center" vertical="center"/>
    </xf>
    <xf numFmtId="176" fontId="23" fillId="2" borderId="21" xfId="2" applyNumberFormat="1" applyFont="1" applyFill="1" applyBorder="1" applyAlignment="1">
      <alignment horizontal="center" vertical="center"/>
    </xf>
    <xf numFmtId="0" fontId="23" fillId="2" borderId="23" xfId="2" applyFont="1" applyFill="1" applyBorder="1" applyAlignment="1">
      <alignment horizontal="center" vertical="center"/>
    </xf>
    <xf numFmtId="0" fontId="6" fillId="0" borderId="9" xfId="2" applyFont="1" applyBorder="1" applyAlignment="1">
      <alignment horizontal="left" vertical="center" indent="1"/>
    </xf>
    <xf numFmtId="0" fontId="6" fillId="0" borderId="10" xfId="2" applyFont="1" applyBorder="1" applyAlignment="1">
      <alignment horizontal="left" vertical="center" indent="1"/>
    </xf>
    <xf numFmtId="0" fontId="6" fillId="0" borderId="11" xfId="2" applyFont="1" applyBorder="1" applyAlignment="1">
      <alignment horizontal="left" vertical="center" indent="1"/>
    </xf>
    <xf numFmtId="0" fontId="6" fillId="0" borderId="9" xfId="2" applyFont="1" applyBorder="1" applyAlignment="1">
      <alignment horizontal="left" vertical="center" indent="2"/>
    </xf>
    <xf numFmtId="0" fontId="6" fillId="0" borderId="10" xfId="2" applyFont="1" applyBorder="1" applyAlignment="1">
      <alignment horizontal="left" vertical="center" indent="2"/>
    </xf>
    <xf numFmtId="0" fontId="6" fillId="0" borderId="11" xfId="2" applyFont="1" applyBorder="1" applyAlignment="1">
      <alignment horizontal="left" vertical="center" indent="2"/>
    </xf>
    <xf numFmtId="0" fontId="6" fillId="0" borderId="14" xfId="2" applyFont="1" applyBorder="1" applyAlignment="1">
      <alignment horizontal="left" vertical="center" indent="1"/>
    </xf>
    <xf numFmtId="0" fontId="6" fillId="0" borderId="15" xfId="2" applyFont="1" applyBorder="1" applyAlignment="1">
      <alignment horizontal="left" vertical="center" indent="1"/>
    </xf>
    <xf numFmtId="0" fontId="6" fillId="0" borderId="16" xfId="2" applyFont="1" applyBorder="1" applyAlignment="1">
      <alignment horizontal="left" vertical="center" indent="1"/>
    </xf>
    <xf numFmtId="0" fontId="6" fillId="0" borderId="14" xfId="2" applyFont="1" applyBorder="1" applyAlignment="1">
      <alignment horizontal="left" vertical="center" indent="2"/>
    </xf>
    <xf numFmtId="0" fontId="6" fillId="0" borderId="15" xfId="2" applyFont="1" applyBorder="1" applyAlignment="1">
      <alignment horizontal="left" vertical="center" indent="2"/>
    </xf>
    <xf numFmtId="0" fontId="6" fillId="0" borderId="16" xfId="2" applyFont="1" applyBorder="1" applyAlignment="1">
      <alignment horizontal="left" vertical="center" indent="2"/>
    </xf>
    <xf numFmtId="0" fontId="6" fillId="0" borderId="4" xfId="2" applyFont="1" applyBorder="1" applyAlignment="1">
      <alignment horizontal="left" vertical="center" indent="1"/>
    </xf>
    <xf numFmtId="0" fontId="6" fillId="0" borderId="5" xfId="2" applyFont="1" applyBorder="1" applyAlignment="1">
      <alignment horizontal="left" vertical="center" indent="1"/>
    </xf>
    <xf numFmtId="0" fontId="6" fillId="0" borderId="6" xfId="2" applyFont="1" applyBorder="1" applyAlignment="1">
      <alignment horizontal="left" vertical="center" indent="1"/>
    </xf>
    <xf numFmtId="0" fontId="6" fillId="0" borderId="4" xfId="2" applyFont="1" applyBorder="1" applyAlignment="1">
      <alignment horizontal="left" vertical="center" indent="2"/>
    </xf>
    <xf numFmtId="0" fontId="6" fillId="0" borderId="5" xfId="2" applyFont="1" applyBorder="1" applyAlignment="1">
      <alignment horizontal="left" vertical="center" indent="2"/>
    </xf>
    <xf numFmtId="0" fontId="6" fillId="0" borderId="6" xfId="2" applyFont="1" applyBorder="1" applyAlignment="1">
      <alignment horizontal="left" vertical="center" indent="2"/>
    </xf>
    <xf numFmtId="0" fontId="13" fillId="0" borderId="0" xfId="2" applyFont="1" applyAlignment="1">
      <alignment horizontal="left" vertical="top" wrapText="1"/>
    </xf>
    <xf numFmtId="0" fontId="13" fillId="0" borderId="0" xfId="2" applyFont="1" applyAlignment="1">
      <alignment horizontal="left" vertical="top"/>
    </xf>
    <xf numFmtId="0" fontId="18" fillId="0" borderId="1" xfId="2" applyFont="1" applyBorder="1" applyAlignment="1">
      <alignment horizontal="left" vertical="center"/>
    </xf>
    <xf numFmtId="0" fontId="18" fillId="0" borderId="2" xfId="2" applyFont="1" applyBorder="1" applyAlignment="1">
      <alignment horizontal="left" vertical="center"/>
    </xf>
    <xf numFmtId="177" fontId="18" fillId="0" borderId="2" xfId="2" applyNumberFormat="1" applyFont="1" applyBorder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10" fillId="0" borderId="0" xfId="2" applyFont="1" applyAlignment="1">
      <alignment horizontal="center"/>
    </xf>
    <xf numFmtId="0" fontId="6" fillId="0" borderId="0" xfId="3" applyFont="1" applyAlignment="1">
      <alignment horizontal="right" vertical="center"/>
    </xf>
    <xf numFmtId="0" fontId="25" fillId="3" borderId="47" xfId="0" applyFont="1" applyFill="1" applyBorder="1" applyAlignment="1">
      <alignment horizontal="center" vertical="center"/>
    </xf>
    <xf numFmtId="0" fontId="25" fillId="3" borderId="38" xfId="0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/>
    </xf>
    <xf numFmtId="0" fontId="25" fillId="6" borderId="42" xfId="0" applyFont="1" applyFill="1" applyBorder="1" applyAlignment="1">
      <alignment horizontal="center" vertical="center"/>
    </xf>
    <xf numFmtId="0" fontId="35" fillId="3" borderId="43" xfId="0" applyFont="1" applyFill="1" applyBorder="1" applyAlignment="1">
      <alignment horizontal="center" vertical="center" wrapText="1"/>
    </xf>
    <xf numFmtId="0" fontId="35" fillId="3" borderId="44" xfId="0" applyFont="1" applyFill="1" applyBorder="1" applyAlignment="1">
      <alignment horizontal="center" vertical="center" wrapText="1"/>
    </xf>
    <xf numFmtId="0" fontId="35" fillId="3" borderId="45" xfId="0" applyFont="1" applyFill="1" applyBorder="1" applyAlignment="1">
      <alignment horizontal="center" vertical="center" wrapText="1"/>
    </xf>
    <xf numFmtId="14" fontId="25" fillId="3" borderId="33" xfId="0" applyNumberFormat="1" applyFont="1" applyFill="1" applyBorder="1" applyAlignment="1">
      <alignment horizontal="center" vertical="center"/>
    </xf>
    <xf numFmtId="14" fontId="25" fillId="3" borderId="25" xfId="0" applyNumberFormat="1" applyFont="1" applyFill="1" applyBorder="1" applyAlignment="1">
      <alignment horizontal="center" vertical="center"/>
    </xf>
    <xf numFmtId="14" fontId="25" fillId="3" borderId="36" xfId="0" applyNumberFormat="1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/>
    </xf>
    <xf numFmtId="0" fontId="25" fillId="3" borderId="25" xfId="0" applyFont="1" applyFill="1" applyBorder="1" applyAlignment="1">
      <alignment horizontal="center" vertical="center"/>
    </xf>
    <xf numFmtId="0" fontId="25" fillId="3" borderId="36" xfId="0" applyFont="1" applyFill="1" applyBorder="1" applyAlignment="1">
      <alignment horizontal="center" vertical="center"/>
    </xf>
    <xf numFmtId="0" fontId="25" fillId="3" borderId="46" xfId="0" applyFont="1" applyFill="1" applyBorder="1" applyAlignment="1">
      <alignment horizontal="center" vertical="center"/>
    </xf>
    <xf numFmtId="14" fontId="25" fillId="3" borderId="46" xfId="0" applyNumberFormat="1" applyFont="1" applyFill="1" applyBorder="1" applyAlignment="1">
      <alignment horizontal="center" vertical="center"/>
    </xf>
    <xf numFmtId="14" fontId="25" fillId="3" borderId="47" xfId="0" applyNumberFormat="1" applyFont="1" applyFill="1" applyBorder="1" applyAlignment="1">
      <alignment horizontal="center" vertical="center"/>
    </xf>
    <xf numFmtId="14" fontId="25" fillId="3" borderId="38" xfId="0" applyNumberFormat="1" applyFont="1" applyFill="1" applyBorder="1" applyAlignment="1">
      <alignment horizontal="center" vertical="center"/>
    </xf>
    <xf numFmtId="0" fontId="32" fillId="2" borderId="29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34" fillId="2" borderId="40" xfId="0" applyFont="1" applyFill="1" applyBorder="1" applyAlignment="1">
      <alignment horizontal="center" vertical="center" wrapText="1"/>
    </xf>
    <xf numFmtId="0" fontId="34" fillId="2" borderId="41" xfId="0" applyFont="1" applyFill="1" applyBorder="1" applyAlignment="1">
      <alignment horizontal="center" vertical="center" wrapText="1"/>
    </xf>
    <xf numFmtId="0" fontId="33" fillId="2" borderId="39" xfId="0" applyFont="1" applyFill="1" applyBorder="1" applyAlignment="1">
      <alignment horizontal="center" vertical="center" wrapText="1"/>
    </xf>
    <xf numFmtId="0" fontId="33" fillId="2" borderId="42" xfId="0" applyFont="1" applyFill="1" applyBorder="1" applyAlignment="1">
      <alignment horizontal="center" vertical="center" wrapText="1"/>
    </xf>
    <xf numFmtId="0" fontId="34" fillId="2" borderId="35" xfId="0" applyFont="1" applyFill="1" applyBorder="1" applyAlignment="1">
      <alignment horizontal="center" vertical="center" wrapText="1"/>
    </xf>
    <xf numFmtId="0" fontId="34" fillId="2" borderId="38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5" fillId="3" borderId="33" xfId="0" applyFont="1" applyFill="1" applyBorder="1" applyAlignment="1">
      <alignment horizontal="center" vertical="center"/>
    </xf>
  </cellXfs>
  <cellStyles count="16">
    <cellStyle name="Normal 106" xfId="13" xr:uid="{9F27A034-78E6-4E92-9C76-1D2A42A55BD2}"/>
    <cellStyle name="Normal 153" xfId="15" xr:uid="{1CFF1CF1-947D-483C-B975-1AEE29C89926}"/>
    <cellStyle name="Normal 2" xfId="14" xr:uid="{DD81CDEE-F408-4A66-B583-4C01F7974824}"/>
    <cellStyle name="쉼표 [0]" xfId="1" builtinId="6"/>
    <cellStyle name="쉼표 [0] 2" xfId="12" xr:uid="{FF4ACF51-893D-484D-A561-3B5CA4CB506C}"/>
    <cellStyle name="쉼표 [0] 3" xfId="10" xr:uid="{B5303215-491F-4F51-AA0E-65D1F2D10F18}"/>
    <cellStyle name="通貨 [0.00] 2" xfId="6" xr:uid="{00000000-0005-0000-0000-000001000000}"/>
    <cellStyle name="통화 [0]" xfId="9" builtinId="7"/>
    <cellStyle name="표준" xfId="0" builtinId="0"/>
    <cellStyle name="표준 2 3 3" xfId="7" xr:uid="{00000000-0005-0000-0000-000004000000}"/>
    <cellStyle name="표준 2 4" xfId="4" xr:uid="{00000000-0005-0000-0000-000005000000}"/>
    <cellStyle name="표준 3" xfId="11" xr:uid="{7115C92D-5079-4DD4-8E23-B5C5C7288939}"/>
    <cellStyle name="標準 3" xfId="8" xr:uid="{6108A28C-0868-4BF3-BAC5-B2E0C63B031B}"/>
    <cellStyle name="표준 3 3" xfId="3" xr:uid="{00000000-0005-0000-0000-000006000000}"/>
    <cellStyle name="표준_CMO-Quotation&amp;Spec-2" xfId="2" xr:uid="{00000000-0005-0000-0000-000007000000}"/>
    <cellStyle name="표준_quotation-Mirapro's" xfId="5" xr:uid="{00000000-0005-0000-0000-000008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" name="Text 3">
          <a:extLst>
            <a:ext uri="{FF2B5EF4-FFF2-40B4-BE49-F238E27FC236}">
              <a16:creationId xmlns:a16="http://schemas.microsoft.com/office/drawing/2014/main" id="{D073CB5A-5A32-4190-8A9E-175FCB88291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" name="Text 3">
          <a:extLst>
            <a:ext uri="{FF2B5EF4-FFF2-40B4-BE49-F238E27FC236}">
              <a16:creationId xmlns:a16="http://schemas.microsoft.com/office/drawing/2014/main" id="{7D67519F-D8AA-47F7-B979-27D53C3B9EC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" name="Text 3">
          <a:extLst>
            <a:ext uri="{FF2B5EF4-FFF2-40B4-BE49-F238E27FC236}">
              <a16:creationId xmlns:a16="http://schemas.microsoft.com/office/drawing/2014/main" id="{F5C4BC49-A64E-4A86-A6FB-67190EE5B4F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" name="Text 3">
          <a:extLst>
            <a:ext uri="{FF2B5EF4-FFF2-40B4-BE49-F238E27FC236}">
              <a16:creationId xmlns:a16="http://schemas.microsoft.com/office/drawing/2014/main" id="{3B95104D-EBC4-4CC1-9289-BE7821F39B6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" name="Text 3">
          <a:extLst>
            <a:ext uri="{FF2B5EF4-FFF2-40B4-BE49-F238E27FC236}">
              <a16:creationId xmlns:a16="http://schemas.microsoft.com/office/drawing/2014/main" id="{6CE99FF6-8C0E-4B7A-92AB-1FD74D17087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" name="Text 3">
          <a:extLst>
            <a:ext uri="{FF2B5EF4-FFF2-40B4-BE49-F238E27FC236}">
              <a16:creationId xmlns:a16="http://schemas.microsoft.com/office/drawing/2014/main" id="{23CEE0C7-7209-42C9-AA4A-46F82604B57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" name="Text 3">
          <a:extLst>
            <a:ext uri="{FF2B5EF4-FFF2-40B4-BE49-F238E27FC236}">
              <a16:creationId xmlns:a16="http://schemas.microsoft.com/office/drawing/2014/main" id="{497FE4E2-0A2A-4609-B444-F0E166B2581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" name="Text 3">
          <a:extLst>
            <a:ext uri="{FF2B5EF4-FFF2-40B4-BE49-F238E27FC236}">
              <a16:creationId xmlns:a16="http://schemas.microsoft.com/office/drawing/2014/main" id="{88546B21-6292-404E-907E-2B26ECBAB6D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" name="Text 3">
          <a:extLst>
            <a:ext uri="{FF2B5EF4-FFF2-40B4-BE49-F238E27FC236}">
              <a16:creationId xmlns:a16="http://schemas.microsoft.com/office/drawing/2014/main" id="{B0AF08E8-AE57-4535-87BC-54D54775404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" name="Text 3">
          <a:extLst>
            <a:ext uri="{FF2B5EF4-FFF2-40B4-BE49-F238E27FC236}">
              <a16:creationId xmlns:a16="http://schemas.microsoft.com/office/drawing/2014/main" id="{CF87C3B4-256A-4F0B-B928-D77EDB4A610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" name="Text 3">
          <a:extLst>
            <a:ext uri="{FF2B5EF4-FFF2-40B4-BE49-F238E27FC236}">
              <a16:creationId xmlns:a16="http://schemas.microsoft.com/office/drawing/2014/main" id="{4E7718C8-6417-4675-AEC3-15C12BF5075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" name="Text 3">
          <a:extLst>
            <a:ext uri="{FF2B5EF4-FFF2-40B4-BE49-F238E27FC236}">
              <a16:creationId xmlns:a16="http://schemas.microsoft.com/office/drawing/2014/main" id="{71DB3527-39F1-4C1E-BB84-174F4630FD6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" name="Text 3">
          <a:extLst>
            <a:ext uri="{FF2B5EF4-FFF2-40B4-BE49-F238E27FC236}">
              <a16:creationId xmlns:a16="http://schemas.microsoft.com/office/drawing/2014/main" id="{211234EF-F688-467F-9ADA-A4BA068E4F8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" name="Text 3">
          <a:extLst>
            <a:ext uri="{FF2B5EF4-FFF2-40B4-BE49-F238E27FC236}">
              <a16:creationId xmlns:a16="http://schemas.microsoft.com/office/drawing/2014/main" id="{ACEE4F9E-8087-4AC1-A6DF-2DCAC8AA5E5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6" name="Text 3">
          <a:extLst>
            <a:ext uri="{FF2B5EF4-FFF2-40B4-BE49-F238E27FC236}">
              <a16:creationId xmlns:a16="http://schemas.microsoft.com/office/drawing/2014/main" id="{816E3478-32FD-4D30-8456-E4CD727285A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7" name="Text 3">
          <a:extLst>
            <a:ext uri="{FF2B5EF4-FFF2-40B4-BE49-F238E27FC236}">
              <a16:creationId xmlns:a16="http://schemas.microsoft.com/office/drawing/2014/main" id="{4ABBAEAB-3421-420D-9312-5D02ECDE6A9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8" name="Text 3">
          <a:extLst>
            <a:ext uri="{FF2B5EF4-FFF2-40B4-BE49-F238E27FC236}">
              <a16:creationId xmlns:a16="http://schemas.microsoft.com/office/drawing/2014/main" id="{F945F1A6-375B-4D3E-9321-3BCCF461FA3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9" name="Text 3">
          <a:extLst>
            <a:ext uri="{FF2B5EF4-FFF2-40B4-BE49-F238E27FC236}">
              <a16:creationId xmlns:a16="http://schemas.microsoft.com/office/drawing/2014/main" id="{9E6FCC2B-AC51-45DB-9378-DDAB0ED34A0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0" name="Text 3">
          <a:extLst>
            <a:ext uri="{FF2B5EF4-FFF2-40B4-BE49-F238E27FC236}">
              <a16:creationId xmlns:a16="http://schemas.microsoft.com/office/drawing/2014/main" id="{42FDDE57-CF4E-4277-B4DE-03FBF03FD0E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1" name="Text 3">
          <a:extLst>
            <a:ext uri="{FF2B5EF4-FFF2-40B4-BE49-F238E27FC236}">
              <a16:creationId xmlns:a16="http://schemas.microsoft.com/office/drawing/2014/main" id="{D24ED04C-7415-4E08-954E-1F25FE74BDC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2" name="Text 3">
          <a:extLst>
            <a:ext uri="{FF2B5EF4-FFF2-40B4-BE49-F238E27FC236}">
              <a16:creationId xmlns:a16="http://schemas.microsoft.com/office/drawing/2014/main" id="{36244B60-40E6-41EE-AD37-396DEE482FD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3" name="Text 3">
          <a:extLst>
            <a:ext uri="{FF2B5EF4-FFF2-40B4-BE49-F238E27FC236}">
              <a16:creationId xmlns:a16="http://schemas.microsoft.com/office/drawing/2014/main" id="{D63EAD4E-BD64-4B10-9D2E-670A884ED22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4" name="Text 3">
          <a:extLst>
            <a:ext uri="{FF2B5EF4-FFF2-40B4-BE49-F238E27FC236}">
              <a16:creationId xmlns:a16="http://schemas.microsoft.com/office/drawing/2014/main" id="{C681E224-6133-468C-A3D0-B16969F77DB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5" name="Text 3">
          <a:extLst>
            <a:ext uri="{FF2B5EF4-FFF2-40B4-BE49-F238E27FC236}">
              <a16:creationId xmlns:a16="http://schemas.microsoft.com/office/drawing/2014/main" id="{BE6DD44E-418D-4F83-960A-71AC653D9AF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6" name="Text 3">
          <a:extLst>
            <a:ext uri="{FF2B5EF4-FFF2-40B4-BE49-F238E27FC236}">
              <a16:creationId xmlns:a16="http://schemas.microsoft.com/office/drawing/2014/main" id="{65A9F7A4-5BBC-42C0-8B8D-1E167CC9E59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7" name="Text 3">
          <a:extLst>
            <a:ext uri="{FF2B5EF4-FFF2-40B4-BE49-F238E27FC236}">
              <a16:creationId xmlns:a16="http://schemas.microsoft.com/office/drawing/2014/main" id="{7A73E79F-95BB-44CA-B9E4-E577D82E7AF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8" name="Text 3">
          <a:extLst>
            <a:ext uri="{FF2B5EF4-FFF2-40B4-BE49-F238E27FC236}">
              <a16:creationId xmlns:a16="http://schemas.microsoft.com/office/drawing/2014/main" id="{A3B86B66-260C-4FB4-86A4-97E9889065A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9" name="Text 3">
          <a:extLst>
            <a:ext uri="{FF2B5EF4-FFF2-40B4-BE49-F238E27FC236}">
              <a16:creationId xmlns:a16="http://schemas.microsoft.com/office/drawing/2014/main" id="{D2A33145-57E3-4A12-B279-9AF01D21494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0" name="Text 3">
          <a:extLst>
            <a:ext uri="{FF2B5EF4-FFF2-40B4-BE49-F238E27FC236}">
              <a16:creationId xmlns:a16="http://schemas.microsoft.com/office/drawing/2014/main" id="{6F833791-93BB-4B65-9EA8-7E3CEAC5BE0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1" name="Text 3">
          <a:extLst>
            <a:ext uri="{FF2B5EF4-FFF2-40B4-BE49-F238E27FC236}">
              <a16:creationId xmlns:a16="http://schemas.microsoft.com/office/drawing/2014/main" id="{D6FFDB68-2D0E-4378-903C-927B7FF4EAF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2" name="Text 3">
          <a:extLst>
            <a:ext uri="{FF2B5EF4-FFF2-40B4-BE49-F238E27FC236}">
              <a16:creationId xmlns:a16="http://schemas.microsoft.com/office/drawing/2014/main" id="{2A4A27AA-4C53-4FC7-AFAC-F1874415CAA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3" name="Text 3">
          <a:extLst>
            <a:ext uri="{FF2B5EF4-FFF2-40B4-BE49-F238E27FC236}">
              <a16:creationId xmlns:a16="http://schemas.microsoft.com/office/drawing/2014/main" id="{4A7BB75F-5B98-420D-AF9D-EF0E80F0FD8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4" name="Text 3">
          <a:extLst>
            <a:ext uri="{FF2B5EF4-FFF2-40B4-BE49-F238E27FC236}">
              <a16:creationId xmlns:a16="http://schemas.microsoft.com/office/drawing/2014/main" id="{9288516B-6993-4E3D-ACB5-D866B65A28C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5" name="Text 3">
          <a:extLst>
            <a:ext uri="{FF2B5EF4-FFF2-40B4-BE49-F238E27FC236}">
              <a16:creationId xmlns:a16="http://schemas.microsoft.com/office/drawing/2014/main" id="{01FCF25D-2656-4661-B9DC-AAA30BB5319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6" name="Text 3">
          <a:extLst>
            <a:ext uri="{FF2B5EF4-FFF2-40B4-BE49-F238E27FC236}">
              <a16:creationId xmlns:a16="http://schemas.microsoft.com/office/drawing/2014/main" id="{B6BD1AF1-962D-4EF8-90F5-DC9A7BE1FD8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7" name="Text 3">
          <a:extLst>
            <a:ext uri="{FF2B5EF4-FFF2-40B4-BE49-F238E27FC236}">
              <a16:creationId xmlns:a16="http://schemas.microsoft.com/office/drawing/2014/main" id="{4650295A-3340-48D1-BC91-51AC9D155F7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8" name="Text 3">
          <a:extLst>
            <a:ext uri="{FF2B5EF4-FFF2-40B4-BE49-F238E27FC236}">
              <a16:creationId xmlns:a16="http://schemas.microsoft.com/office/drawing/2014/main" id="{FA6F5253-08D5-40BD-AA41-2C5A62906A7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9" name="Text 3">
          <a:extLst>
            <a:ext uri="{FF2B5EF4-FFF2-40B4-BE49-F238E27FC236}">
              <a16:creationId xmlns:a16="http://schemas.microsoft.com/office/drawing/2014/main" id="{656F2E4C-9451-4112-941E-2435DD4B9A5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0" name="Text 3">
          <a:extLst>
            <a:ext uri="{FF2B5EF4-FFF2-40B4-BE49-F238E27FC236}">
              <a16:creationId xmlns:a16="http://schemas.microsoft.com/office/drawing/2014/main" id="{BDD41787-9C95-46BA-A455-50E73E10E3E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1" name="Text 3">
          <a:extLst>
            <a:ext uri="{FF2B5EF4-FFF2-40B4-BE49-F238E27FC236}">
              <a16:creationId xmlns:a16="http://schemas.microsoft.com/office/drawing/2014/main" id="{E92CAF50-6F3F-4D66-B594-B414BF9F582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2" name="Text 3">
          <a:extLst>
            <a:ext uri="{FF2B5EF4-FFF2-40B4-BE49-F238E27FC236}">
              <a16:creationId xmlns:a16="http://schemas.microsoft.com/office/drawing/2014/main" id="{EC20E0DF-51F7-4657-939A-8A88B518B59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3" name="Text 3">
          <a:extLst>
            <a:ext uri="{FF2B5EF4-FFF2-40B4-BE49-F238E27FC236}">
              <a16:creationId xmlns:a16="http://schemas.microsoft.com/office/drawing/2014/main" id="{8C7EA547-1A0F-469E-A03B-1B9CF959D00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4" name="Text 3">
          <a:extLst>
            <a:ext uri="{FF2B5EF4-FFF2-40B4-BE49-F238E27FC236}">
              <a16:creationId xmlns:a16="http://schemas.microsoft.com/office/drawing/2014/main" id="{7CA66658-36E0-4F61-8EF3-9E96932015B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5" name="Text 3">
          <a:extLst>
            <a:ext uri="{FF2B5EF4-FFF2-40B4-BE49-F238E27FC236}">
              <a16:creationId xmlns:a16="http://schemas.microsoft.com/office/drawing/2014/main" id="{00CBA275-85C7-440C-9358-2B7495249A6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6" name="Text 3">
          <a:extLst>
            <a:ext uri="{FF2B5EF4-FFF2-40B4-BE49-F238E27FC236}">
              <a16:creationId xmlns:a16="http://schemas.microsoft.com/office/drawing/2014/main" id="{2ECF659B-27C4-436E-9B47-702C66D6F9E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7" name="Text 3">
          <a:extLst>
            <a:ext uri="{FF2B5EF4-FFF2-40B4-BE49-F238E27FC236}">
              <a16:creationId xmlns:a16="http://schemas.microsoft.com/office/drawing/2014/main" id="{A5F2F839-7A3D-4EFB-A15E-E40F3753B0C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8" name="Text 3">
          <a:extLst>
            <a:ext uri="{FF2B5EF4-FFF2-40B4-BE49-F238E27FC236}">
              <a16:creationId xmlns:a16="http://schemas.microsoft.com/office/drawing/2014/main" id="{81246837-9BB6-49DB-A30D-6254E20AD5A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9" name="Text 3">
          <a:extLst>
            <a:ext uri="{FF2B5EF4-FFF2-40B4-BE49-F238E27FC236}">
              <a16:creationId xmlns:a16="http://schemas.microsoft.com/office/drawing/2014/main" id="{3BD07BD7-9459-43DB-8538-80E38A3DAC1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0" name="Text 3">
          <a:extLst>
            <a:ext uri="{FF2B5EF4-FFF2-40B4-BE49-F238E27FC236}">
              <a16:creationId xmlns:a16="http://schemas.microsoft.com/office/drawing/2014/main" id="{4A0B210D-0070-44A9-BDED-DC9F86B72B7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1" name="Text 3">
          <a:extLst>
            <a:ext uri="{FF2B5EF4-FFF2-40B4-BE49-F238E27FC236}">
              <a16:creationId xmlns:a16="http://schemas.microsoft.com/office/drawing/2014/main" id="{F3C36585-B308-468B-AB50-FD8473271FD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2" name="Text 3">
          <a:extLst>
            <a:ext uri="{FF2B5EF4-FFF2-40B4-BE49-F238E27FC236}">
              <a16:creationId xmlns:a16="http://schemas.microsoft.com/office/drawing/2014/main" id="{20444D22-2B69-456C-A6F6-BCF991B3849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3" name="Text 3">
          <a:extLst>
            <a:ext uri="{FF2B5EF4-FFF2-40B4-BE49-F238E27FC236}">
              <a16:creationId xmlns:a16="http://schemas.microsoft.com/office/drawing/2014/main" id="{CFDC8BAE-9D5A-4C71-8248-1D211B89DC2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4" name="Text 3">
          <a:extLst>
            <a:ext uri="{FF2B5EF4-FFF2-40B4-BE49-F238E27FC236}">
              <a16:creationId xmlns:a16="http://schemas.microsoft.com/office/drawing/2014/main" id="{8DC3B2A6-0CE5-4043-9BA3-4E8B4EEDD84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5" name="Text 3">
          <a:extLst>
            <a:ext uri="{FF2B5EF4-FFF2-40B4-BE49-F238E27FC236}">
              <a16:creationId xmlns:a16="http://schemas.microsoft.com/office/drawing/2014/main" id="{594816FB-8D23-4013-A3A2-DA6EB54216F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6" name="Text 3">
          <a:extLst>
            <a:ext uri="{FF2B5EF4-FFF2-40B4-BE49-F238E27FC236}">
              <a16:creationId xmlns:a16="http://schemas.microsoft.com/office/drawing/2014/main" id="{20BB03A7-FD17-4541-B5DF-73818F33D84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7" name="Text 3">
          <a:extLst>
            <a:ext uri="{FF2B5EF4-FFF2-40B4-BE49-F238E27FC236}">
              <a16:creationId xmlns:a16="http://schemas.microsoft.com/office/drawing/2014/main" id="{C2EF08B9-FDB6-4128-94DF-7BAAC01B681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8" name="Text 3">
          <a:extLst>
            <a:ext uri="{FF2B5EF4-FFF2-40B4-BE49-F238E27FC236}">
              <a16:creationId xmlns:a16="http://schemas.microsoft.com/office/drawing/2014/main" id="{8CEA732A-BB1A-4029-998B-7CEC6F56674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9" name="Text 3">
          <a:extLst>
            <a:ext uri="{FF2B5EF4-FFF2-40B4-BE49-F238E27FC236}">
              <a16:creationId xmlns:a16="http://schemas.microsoft.com/office/drawing/2014/main" id="{F1F66EEF-1C56-4B50-90B2-A82F4B6DCC1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0" name="Text 3">
          <a:extLst>
            <a:ext uri="{FF2B5EF4-FFF2-40B4-BE49-F238E27FC236}">
              <a16:creationId xmlns:a16="http://schemas.microsoft.com/office/drawing/2014/main" id="{79D90CB6-481E-4CCD-8070-28F77AA6DB4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1" name="Text 3">
          <a:extLst>
            <a:ext uri="{FF2B5EF4-FFF2-40B4-BE49-F238E27FC236}">
              <a16:creationId xmlns:a16="http://schemas.microsoft.com/office/drawing/2014/main" id="{3613731E-02EC-479B-BDBB-E605079BDF9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2" name="Text 3">
          <a:extLst>
            <a:ext uri="{FF2B5EF4-FFF2-40B4-BE49-F238E27FC236}">
              <a16:creationId xmlns:a16="http://schemas.microsoft.com/office/drawing/2014/main" id="{75B7B83B-3733-4D16-8E97-2ECA7828C56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3" name="Text 3">
          <a:extLst>
            <a:ext uri="{FF2B5EF4-FFF2-40B4-BE49-F238E27FC236}">
              <a16:creationId xmlns:a16="http://schemas.microsoft.com/office/drawing/2014/main" id="{00623253-24AA-461E-BEE0-679E2AA2C9E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4" name="Text 3">
          <a:extLst>
            <a:ext uri="{FF2B5EF4-FFF2-40B4-BE49-F238E27FC236}">
              <a16:creationId xmlns:a16="http://schemas.microsoft.com/office/drawing/2014/main" id="{54463B73-C407-4331-9117-FE9880B5946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5" name="Text 3">
          <a:extLst>
            <a:ext uri="{FF2B5EF4-FFF2-40B4-BE49-F238E27FC236}">
              <a16:creationId xmlns:a16="http://schemas.microsoft.com/office/drawing/2014/main" id="{E6B6AB73-B68D-48B4-A2D8-D53860CDD5F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6" name="Text 3">
          <a:extLst>
            <a:ext uri="{FF2B5EF4-FFF2-40B4-BE49-F238E27FC236}">
              <a16:creationId xmlns:a16="http://schemas.microsoft.com/office/drawing/2014/main" id="{80D04D43-CA06-4CE8-8D94-3830EB95DA2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7" name="Text 3">
          <a:extLst>
            <a:ext uri="{FF2B5EF4-FFF2-40B4-BE49-F238E27FC236}">
              <a16:creationId xmlns:a16="http://schemas.microsoft.com/office/drawing/2014/main" id="{CEBF7555-BC96-4B5B-BE82-E2B914094A8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8" name="Text 3">
          <a:extLst>
            <a:ext uri="{FF2B5EF4-FFF2-40B4-BE49-F238E27FC236}">
              <a16:creationId xmlns:a16="http://schemas.microsoft.com/office/drawing/2014/main" id="{002C9806-A12A-43F9-AA0B-8EA41C6BC36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9" name="Text 3">
          <a:extLst>
            <a:ext uri="{FF2B5EF4-FFF2-40B4-BE49-F238E27FC236}">
              <a16:creationId xmlns:a16="http://schemas.microsoft.com/office/drawing/2014/main" id="{CAE20FC3-A45B-4278-8AFF-E879B4859F6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0" name="Text 3">
          <a:extLst>
            <a:ext uri="{FF2B5EF4-FFF2-40B4-BE49-F238E27FC236}">
              <a16:creationId xmlns:a16="http://schemas.microsoft.com/office/drawing/2014/main" id="{9CFE22B7-64E4-4483-ADD6-5FF36D6A89A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1" name="Text 3">
          <a:extLst>
            <a:ext uri="{FF2B5EF4-FFF2-40B4-BE49-F238E27FC236}">
              <a16:creationId xmlns:a16="http://schemas.microsoft.com/office/drawing/2014/main" id="{B9255772-82A4-40E3-A98A-DB61BBA527F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2" name="Text 3">
          <a:extLst>
            <a:ext uri="{FF2B5EF4-FFF2-40B4-BE49-F238E27FC236}">
              <a16:creationId xmlns:a16="http://schemas.microsoft.com/office/drawing/2014/main" id="{D827581B-D306-4850-B332-D026AC939BA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3" name="Text 3">
          <a:extLst>
            <a:ext uri="{FF2B5EF4-FFF2-40B4-BE49-F238E27FC236}">
              <a16:creationId xmlns:a16="http://schemas.microsoft.com/office/drawing/2014/main" id="{D2DE1661-D185-41B0-B9A2-127A25C3A9C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4" name="Text 3">
          <a:extLst>
            <a:ext uri="{FF2B5EF4-FFF2-40B4-BE49-F238E27FC236}">
              <a16:creationId xmlns:a16="http://schemas.microsoft.com/office/drawing/2014/main" id="{65A6CF52-0457-4B73-ACCA-DEF47ADD889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5" name="Text 3">
          <a:extLst>
            <a:ext uri="{FF2B5EF4-FFF2-40B4-BE49-F238E27FC236}">
              <a16:creationId xmlns:a16="http://schemas.microsoft.com/office/drawing/2014/main" id="{71C70679-89F5-4A02-B54D-51A4E993B02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6" name="Text 3">
          <a:extLst>
            <a:ext uri="{FF2B5EF4-FFF2-40B4-BE49-F238E27FC236}">
              <a16:creationId xmlns:a16="http://schemas.microsoft.com/office/drawing/2014/main" id="{AC4D52D1-C1D0-40DE-9480-8355219540B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7" name="Text 3">
          <a:extLst>
            <a:ext uri="{FF2B5EF4-FFF2-40B4-BE49-F238E27FC236}">
              <a16:creationId xmlns:a16="http://schemas.microsoft.com/office/drawing/2014/main" id="{22A8C629-359C-4F7F-8E5E-2BD4F40C679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8" name="Text 3">
          <a:extLst>
            <a:ext uri="{FF2B5EF4-FFF2-40B4-BE49-F238E27FC236}">
              <a16:creationId xmlns:a16="http://schemas.microsoft.com/office/drawing/2014/main" id="{77CFF278-1FA0-4A08-BFBD-6C9987DB6FF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9" name="Text 3">
          <a:extLst>
            <a:ext uri="{FF2B5EF4-FFF2-40B4-BE49-F238E27FC236}">
              <a16:creationId xmlns:a16="http://schemas.microsoft.com/office/drawing/2014/main" id="{7B61AF9F-B34C-4E64-AEBA-B58BFFBDF8D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0" name="Text 3">
          <a:extLst>
            <a:ext uri="{FF2B5EF4-FFF2-40B4-BE49-F238E27FC236}">
              <a16:creationId xmlns:a16="http://schemas.microsoft.com/office/drawing/2014/main" id="{DF0AE6A4-9D69-405D-BB55-9ECD4F833EB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1" name="Text 3">
          <a:extLst>
            <a:ext uri="{FF2B5EF4-FFF2-40B4-BE49-F238E27FC236}">
              <a16:creationId xmlns:a16="http://schemas.microsoft.com/office/drawing/2014/main" id="{413383F3-5120-4CD8-B249-38A3193CB38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2" name="Text 3">
          <a:extLst>
            <a:ext uri="{FF2B5EF4-FFF2-40B4-BE49-F238E27FC236}">
              <a16:creationId xmlns:a16="http://schemas.microsoft.com/office/drawing/2014/main" id="{DDD26478-41BD-48BB-8126-BD2436A7851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3" name="Text 3">
          <a:extLst>
            <a:ext uri="{FF2B5EF4-FFF2-40B4-BE49-F238E27FC236}">
              <a16:creationId xmlns:a16="http://schemas.microsoft.com/office/drawing/2014/main" id="{6B627120-B1C4-4ABD-9093-15D955951E1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4" name="Text 3">
          <a:extLst>
            <a:ext uri="{FF2B5EF4-FFF2-40B4-BE49-F238E27FC236}">
              <a16:creationId xmlns:a16="http://schemas.microsoft.com/office/drawing/2014/main" id="{5D30F89A-D349-409D-9AF2-6A99DFE73BC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5" name="Text 3">
          <a:extLst>
            <a:ext uri="{FF2B5EF4-FFF2-40B4-BE49-F238E27FC236}">
              <a16:creationId xmlns:a16="http://schemas.microsoft.com/office/drawing/2014/main" id="{A7DD676B-E395-4ABA-902A-A08F3AD44BD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6" name="Text 3">
          <a:extLst>
            <a:ext uri="{FF2B5EF4-FFF2-40B4-BE49-F238E27FC236}">
              <a16:creationId xmlns:a16="http://schemas.microsoft.com/office/drawing/2014/main" id="{CF882CDE-7FF6-4107-8185-00D37554B4E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7" name="Text 3">
          <a:extLst>
            <a:ext uri="{FF2B5EF4-FFF2-40B4-BE49-F238E27FC236}">
              <a16:creationId xmlns:a16="http://schemas.microsoft.com/office/drawing/2014/main" id="{1BFEF161-4547-471F-8312-41EF49D76D1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8" name="Text 3">
          <a:extLst>
            <a:ext uri="{FF2B5EF4-FFF2-40B4-BE49-F238E27FC236}">
              <a16:creationId xmlns:a16="http://schemas.microsoft.com/office/drawing/2014/main" id="{3209EC49-7387-4884-8849-C583D71FA05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9" name="Text 3">
          <a:extLst>
            <a:ext uri="{FF2B5EF4-FFF2-40B4-BE49-F238E27FC236}">
              <a16:creationId xmlns:a16="http://schemas.microsoft.com/office/drawing/2014/main" id="{5FDC8525-D1F2-4447-8A8F-17268ECE708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0" name="Text 3">
          <a:extLst>
            <a:ext uri="{FF2B5EF4-FFF2-40B4-BE49-F238E27FC236}">
              <a16:creationId xmlns:a16="http://schemas.microsoft.com/office/drawing/2014/main" id="{AFD1442D-12ED-4D88-BE29-A28B045BBC2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1" name="Text 3">
          <a:extLst>
            <a:ext uri="{FF2B5EF4-FFF2-40B4-BE49-F238E27FC236}">
              <a16:creationId xmlns:a16="http://schemas.microsoft.com/office/drawing/2014/main" id="{CF292B34-04FB-469F-A7D1-9281ADFA494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2" name="Text 3">
          <a:extLst>
            <a:ext uri="{FF2B5EF4-FFF2-40B4-BE49-F238E27FC236}">
              <a16:creationId xmlns:a16="http://schemas.microsoft.com/office/drawing/2014/main" id="{010743AD-866B-4373-A336-56CB0B9F65A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3" name="Text 3">
          <a:extLst>
            <a:ext uri="{FF2B5EF4-FFF2-40B4-BE49-F238E27FC236}">
              <a16:creationId xmlns:a16="http://schemas.microsoft.com/office/drawing/2014/main" id="{D67E9BA0-DF5E-41E1-B096-1541E677C96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4" name="Text 3">
          <a:extLst>
            <a:ext uri="{FF2B5EF4-FFF2-40B4-BE49-F238E27FC236}">
              <a16:creationId xmlns:a16="http://schemas.microsoft.com/office/drawing/2014/main" id="{236C1EF7-7CCA-45D9-827C-0B7927EBD91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5" name="Text 3">
          <a:extLst>
            <a:ext uri="{FF2B5EF4-FFF2-40B4-BE49-F238E27FC236}">
              <a16:creationId xmlns:a16="http://schemas.microsoft.com/office/drawing/2014/main" id="{876A05E8-4A32-4DED-8BA2-B32D07B44E6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6" name="Text 3">
          <a:extLst>
            <a:ext uri="{FF2B5EF4-FFF2-40B4-BE49-F238E27FC236}">
              <a16:creationId xmlns:a16="http://schemas.microsoft.com/office/drawing/2014/main" id="{7351D91F-09CE-4A5E-B1DC-2C4FEFDD0D4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7" name="Text 3">
          <a:extLst>
            <a:ext uri="{FF2B5EF4-FFF2-40B4-BE49-F238E27FC236}">
              <a16:creationId xmlns:a16="http://schemas.microsoft.com/office/drawing/2014/main" id="{8A4ABBF4-00EE-476D-93BD-61648D9A0FF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8" name="Text 3">
          <a:extLst>
            <a:ext uri="{FF2B5EF4-FFF2-40B4-BE49-F238E27FC236}">
              <a16:creationId xmlns:a16="http://schemas.microsoft.com/office/drawing/2014/main" id="{7C52F313-2713-47EB-B12F-79A8A5BDF6B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9" name="Text 3">
          <a:extLst>
            <a:ext uri="{FF2B5EF4-FFF2-40B4-BE49-F238E27FC236}">
              <a16:creationId xmlns:a16="http://schemas.microsoft.com/office/drawing/2014/main" id="{A7D1BF65-3225-4094-8AF0-55D2743B710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0" name="Text 3">
          <a:extLst>
            <a:ext uri="{FF2B5EF4-FFF2-40B4-BE49-F238E27FC236}">
              <a16:creationId xmlns:a16="http://schemas.microsoft.com/office/drawing/2014/main" id="{4A5082E0-25C0-42AA-83A6-3ACDBBD8262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1" name="Text 3">
          <a:extLst>
            <a:ext uri="{FF2B5EF4-FFF2-40B4-BE49-F238E27FC236}">
              <a16:creationId xmlns:a16="http://schemas.microsoft.com/office/drawing/2014/main" id="{E2113632-14DD-461A-AD15-7DC89F8EFDA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2" name="Text 3">
          <a:extLst>
            <a:ext uri="{FF2B5EF4-FFF2-40B4-BE49-F238E27FC236}">
              <a16:creationId xmlns:a16="http://schemas.microsoft.com/office/drawing/2014/main" id="{3CD66043-EA7A-4125-85E3-AB1FD40AB3F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3" name="Text 3">
          <a:extLst>
            <a:ext uri="{FF2B5EF4-FFF2-40B4-BE49-F238E27FC236}">
              <a16:creationId xmlns:a16="http://schemas.microsoft.com/office/drawing/2014/main" id="{4ED75A43-613E-4610-9E0B-A850BF4F4DD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4" name="Text 3">
          <a:extLst>
            <a:ext uri="{FF2B5EF4-FFF2-40B4-BE49-F238E27FC236}">
              <a16:creationId xmlns:a16="http://schemas.microsoft.com/office/drawing/2014/main" id="{16397FFB-CE3E-4503-A2C7-508C01FD1EF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5" name="Text 3">
          <a:extLst>
            <a:ext uri="{FF2B5EF4-FFF2-40B4-BE49-F238E27FC236}">
              <a16:creationId xmlns:a16="http://schemas.microsoft.com/office/drawing/2014/main" id="{9E37712C-09A1-4ECE-AFF2-315A7127A39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6" name="Text 3">
          <a:extLst>
            <a:ext uri="{FF2B5EF4-FFF2-40B4-BE49-F238E27FC236}">
              <a16:creationId xmlns:a16="http://schemas.microsoft.com/office/drawing/2014/main" id="{50414864-96C9-4B52-BB76-DA7EE03BA07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7" name="Text 3">
          <a:extLst>
            <a:ext uri="{FF2B5EF4-FFF2-40B4-BE49-F238E27FC236}">
              <a16:creationId xmlns:a16="http://schemas.microsoft.com/office/drawing/2014/main" id="{E1335E49-C9A7-4FF8-9E03-0B0910D4B4F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8" name="Text 3">
          <a:extLst>
            <a:ext uri="{FF2B5EF4-FFF2-40B4-BE49-F238E27FC236}">
              <a16:creationId xmlns:a16="http://schemas.microsoft.com/office/drawing/2014/main" id="{A5635417-F48D-44D6-8B84-7DFC538B670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9" name="Text 3">
          <a:extLst>
            <a:ext uri="{FF2B5EF4-FFF2-40B4-BE49-F238E27FC236}">
              <a16:creationId xmlns:a16="http://schemas.microsoft.com/office/drawing/2014/main" id="{A0764168-3D87-4534-94C1-69F8F3D7F74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0" name="Text 3">
          <a:extLst>
            <a:ext uri="{FF2B5EF4-FFF2-40B4-BE49-F238E27FC236}">
              <a16:creationId xmlns:a16="http://schemas.microsoft.com/office/drawing/2014/main" id="{DC74C189-C5A1-44BF-9FA6-454635F666B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1" name="Text 3">
          <a:extLst>
            <a:ext uri="{FF2B5EF4-FFF2-40B4-BE49-F238E27FC236}">
              <a16:creationId xmlns:a16="http://schemas.microsoft.com/office/drawing/2014/main" id="{1B9ECF4B-95DD-4639-96F0-3DD8AE9BA91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2" name="Text 3">
          <a:extLst>
            <a:ext uri="{FF2B5EF4-FFF2-40B4-BE49-F238E27FC236}">
              <a16:creationId xmlns:a16="http://schemas.microsoft.com/office/drawing/2014/main" id="{DFACD58E-55DC-43BE-B79E-8FC1CAA7BEA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3" name="Text 3">
          <a:extLst>
            <a:ext uri="{FF2B5EF4-FFF2-40B4-BE49-F238E27FC236}">
              <a16:creationId xmlns:a16="http://schemas.microsoft.com/office/drawing/2014/main" id="{6D8756E8-81BA-4E05-BA36-9C10EF4455C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4" name="Text 3">
          <a:extLst>
            <a:ext uri="{FF2B5EF4-FFF2-40B4-BE49-F238E27FC236}">
              <a16:creationId xmlns:a16="http://schemas.microsoft.com/office/drawing/2014/main" id="{71EA7115-7837-4A94-8EEB-82741072EAF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5" name="Text 3">
          <a:extLst>
            <a:ext uri="{FF2B5EF4-FFF2-40B4-BE49-F238E27FC236}">
              <a16:creationId xmlns:a16="http://schemas.microsoft.com/office/drawing/2014/main" id="{B6650B19-C360-4087-9F2C-82192F5D96A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6" name="Text 3">
          <a:extLst>
            <a:ext uri="{FF2B5EF4-FFF2-40B4-BE49-F238E27FC236}">
              <a16:creationId xmlns:a16="http://schemas.microsoft.com/office/drawing/2014/main" id="{43464017-D812-4E63-AE6E-4C867C830B3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7" name="Text 3">
          <a:extLst>
            <a:ext uri="{FF2B5EF4-FFF2-40B4-BE49-F238E27FC236}">
              <a16:creationId xmlns:a16="http://schemas.microsoft.com/office/drawing/2014/main" id="{1A505644-8A81-44BE-BF70-B929B54600D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8" name="Text 3">
          <a:extLst>
            <a:ext uri="{FF2B5EF4-FFF2-40B4-BE49-F238E27FC236}">
              <a16:creationId xmlns:a16="http://schemas.microsoft.com/office/drawing/2014/main" id="{BAADB307-3204-4DA8-A9F4-A72D1097942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9" name="Text 3">
          <a:extLst>
            <a:ext uri="{FF2B5EF4-FFF2-40B4-BE49-F238E27FC236}">
              <a16:creationId xmlns:a16="http://schemas.microsoft.com/office/drawing/2014/main" id="{0DC3E535-D767-431E-A465-9466D569DD1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0" name="Text 3">
          <a:extLst>
            <a:ext uri="{FF2B5EF4-FFF2-40B4-BE49-F238E27FC236}">
              <a16:creationId xmlns:a16="http://schemas.microsoft.com/office/drawing/2014/main" id="{BD45DF91-F1A9-4163-92C7-4F15DDB1D29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1" name="Text 3">
          <a:extLst>
            <a:ext uri="{FF2B5EF4-FFF2-40B4-BE49-F238E27FC236}">
              <a16:creationId xmlns:a16="http://schemas.microsoft.com/office/drawing/2014/main" id="{94365E62-3964-4B8D-A683-D57D46DBBEC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2" name="Text 3">
          <a:extLst>
            <a:ext uri="{FF2B5EF4-FFF2-40B4-BE49-F238E27FC236}">
              <a16:creationId xmlns:a16="http://schemas.microsoft.com/office/drawing/2014/main" id="{E296659B-382F-4A97-B003-3340D157AE2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3" name="Text 3">
          <a:extLst>
            <a:ext uri="{FF2B5EF4-FFF2-40B4-BE49-F238E27FC236}">
              <a16:creationId xmlns:a16="http://schemas.microsoft.com/office/drawing/2014/main" id="{210BB7F4-A022-4F5F-A9C4-B120AF1E12A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4" name="Text 3">
          <a:extLst>
            <a:ext uri="{FF2B5EF4-FFF2-40B4-BE49-F238E27FC236}">
              <a16:creationId xmlns:a16="http://schemas.microsoft.com/office/drawing/2014/main" id="{5DE7925B-925B-4740-94B5-548FB954366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5" name="Text 3">
          <a:extLst>
            <a:ext uri="{FF2B5EF4-FFF2-40B4-BE49-F238E27FC236}">
              <a16:creationId xmlns:a16="http://schemas.microsoft.com/office/drawing/2014/main" id="{928B2847-7A76-4408-86BA-983AA9B379F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6" name="Text 3">
          <a:extLst>
            <a:ext uri="{FF2B5EF4-FFF2-40B4-BE49-F238E27FC236}">
              <a16:creationId xmlns:a16="http://schemas.microsoft.com/office/drawing/2014/main" id="{F537D9AF-2EF0-4C62-9112-AE0CD8B0431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7" name="Text 3">
          <a:extLst>
            <a:ext uri="{FF2B5EF4-FFF2-40B4-BE49-F238E27FC236}">
              <a16:creationId xmlns:a16="http://schemas.microsoft.com/office/drawing/2014/main" id="{5079E43D-2C22-4AD2-8B77-519C8C04E0D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8" name="Text 3">
          <a:extLst>
            <a:ext uri="{FF2B5EF4-FFF2-40B4-BE49-F238E27FC236}">
              <a16:creationId xmlns:a16="http://schemas.microsoft.com/office/drawing/2014/main" id="{0924A2F9-09DB-4BE5-B064-094DC740A11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9" name="Text 3">
          <a:extLst>
            <a:ext uri="{FF2B5EF4-FFF2-40B4-BE49-F238E27FC236}">
              <a16:creationId xmlns:a16="http://schemas.microsoft.com/office/drawing/2014/main" id="{FC6C74DC-01C8-4ED6-B58F-F9728E4E170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0" name="Text 3">
          <a:extLst>
            <a:ext uri="{FF2B5EF4-FFF2-40B4-BE49-F238E27FC236}">
              <a16:creationId xmlns:a16="http://schemas.microsoft.com/office/drawing/2014/main" id="{B40F3647-5510-4E3E-B935-F08B54FAAD4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1" name="Text 3">
          <a:extLst>
            <a:ext uri="{FF2B5EF4-FFF2-40B4-BE49-F238E27FC236}">
              <a16:creationId xmlns:a16="http://schemas.microsoft.com/office/drawing/2014/main" id="{CDFD98FB-3AC5-4328-922E-BE42A56F636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2" name="Text 3">
          <a:extLst>
            <a:ext uri="{FF2B5EF4-FFF2-40B4-BE49-F238E27FC236}">
              <a16:creationId xmlns:a16="http://schemas.microsoft.com/office/drawing/2014/main" id="{2C3928AB-B5C5-431F-BDD0-0E73BED4804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3" name="Text 3">
          <a:extLst>
            <a:ext uri="{FF2B5EF4-FFF2-40B4-BE49-F238E27FC236}">
              <a16:creationId xmlns:a16="http://schemas.microsoft.com/office/drawing/2014/main" id="{01D75C34-6E8C-40FD-9406-EA9AE679FE7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4" name="Text 3">
          <a:extLst>
            <a:ext uri="{FF2B5EF4-FFF2-40B4-BE49-F238E27FC236}">
              <a16:creationId xmlns:a16="http://schemas.microsoft.com/office/drawing/2014/main" id="{8A3FE701-0CFC-4FF2-964A-6EC68891175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5" name="Text 3">
          <a:extLst>
            <a:ext uri="{FF2B5EF4-FFF2-40B4-BE49-F238E27FC236}">
              <a16:creationId xmlns:a16="http://schemas.microsoft.com/office/drawing/2014/main" id="{AD7FB33C-C980-4698-B2DF-3D00C988C96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6" name="Text 3">
          <a:extLst>
            <a:ext uri="{FF2B5EF4-FFF2-40B4-BE49-F238E27FC236}">
              <a16:creationId xmlns:a16="http://schemas.microsoft.com/office/drawing/2014/main" id="{08BDC5CE-E198-4211-8037-F2456324BB2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7" name="Text 3">
          <a:extLst>
            <a:ext uri="{FF2B5EF4-FFF2-40B4-BE49-F238E27FC236}">
              <a16:creationId xmlns:a16="http://schemas.microsoft.com/office/drawing/2014/main" id="{A278973A-54C3-41A6-B551-F924856C280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8" name="Text 3">
          <a:extLst>
            <a:ext uri="{FF2B5EF4-FFF2-40B4-BE49-F238E27FC236}">
              <a16:creationId xmlns:a16="http://schemas.microsoft.com/office/drawing/2014/main" id="{9FEFF201-C2BB-4B7D-86BE-FE9713F7ED8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9" name="Text 3">
          <a:extLst>
            <a:ext uri="{FF2B5EF4-FFF2-40B4-BE49-F238E27FC236}">
              <a16:creationId xmlns:a16="http://schemas.microsoft.com/office/drawing/2014/main" id="{FE2B03AE-FACC-46AF-A56A-59F8A91F825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0" name="Text 3">
          <a:extLst>
            <a:ext uri="{FF2B5EF4-FFF2-40B4-BE49-F238E27FC236}">
              <a16:creationId xmlns:a16="http://schemas.microsoft.com/office/drawing/2014/main" id="{6AAD1161-60E0-43BA-9E2F-154DA2077DA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1" name="Text 3">
          <a:extLst>
            <a:ext uri="{FF2B5EF4-FFF2-40B4-BE49-F238E27FC236}">
              <a16:creationId xmlns:a16="http://schemas.microsoft.com/office/drawing/2014/main" id="{479C3631-3525-4209-9BA8-C2D5AF43D40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2" name="Text 3">
          <a:extLst>
            <a:ext uri="{FF2B5EF4-FFF2-40B4-BE49-F238E27FC236}">
              <a16:creationId xmlns:a16="http://schemas.microsoft.com/office/drawing/2014/main" id="{EB7368F3-EB0F-406C-87B3-5D047AA7780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3" name="Text 3">
          <a:extLst>
            <a:ext uri="{FF2B5EF4-FFF2-40B4-BE49-F238E27FC236}">
              <a16:creationId xmlns:a16="http://schemas.microsoft.com/office/drawing/2014/main" id="{FE67DFE0-48FC-413F-91F2-BD100772595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4" name="Text 3">
          <a:extLst>
            <a:ext uri="{FF2B5EF4-FFF2-40B4-BE49-F238E27FC236}">
              <a16:creationId xmlns:a16="http://schemas.microsoft.com/office/drawing/2014/main" id="{4875AD98-9F62-41FA-8B8F-A97D277E060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5" name="Text 3">
          <a:extLst>
            <a:ext uri="{FF2B5EF4-FFF2-40B4-BE49-F238E27FC236}">
              <a16:creationId xmlns:a16="http://schemas.microsoft.com/office/drawing/2014/main" id="{E4F0C8F8-8A0E-44FE-97E7-F13BD82E359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6" name="Text 3">
          <a:extLst>
            <a:ext uri="{FF2B5EF4-FFF2-40B4-BE49-F238E27FC236}">
              <a16:creationId xmlns:a16="http://schemas.microsoft.com/office/drawing/2014/main" id="{8D9708F9-AF04-4DF3-AC71-FC72F6E7F6A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7" name="Text 3">
          <a:extLst>
            <a:ext uri="{FF2B5EF4-FFF2-40B4-BE49-F238E27FC236}">
              <a16:creationId xmlns:a16="http://schemas.microsoft.com/office/drawing/2014/main" id="{FE39B9D2-CBB6-4257-8EBE-5BAE9C99362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8" name="Text 3">
          <a:extLst>
            <a:ext uri="{FF2B5EF4-FFF2-40B4-BE49-F238E27FC236}">
              <a16:creationId xmlns:a16="http://schemas.microsoft.com/office/drawing/2014/main" id="{98DAD4D8-F2CD-4F02-B464-AF2145E02FA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9" name="Text 3">
          <a:extLst>
            <a:ext uri="{FF2B5EF4-FFF2-40B4-BE49-F238E27FC236}">
              <a16:creationId xmlns:a16="http://schemas.microsoft.com/office/drawing/2014/main" id="{5E733F6A-A3F7-4CF1-B6EF-02B86EB1898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0" name="Text 3">
          <a:extLst>
            <a:ext uri="{FF2B5EF4-FFF2-40B4-BE49-F238E27FC236}">
              <a16:creationId xmlns:a16="http://schemas.microsoft.com/office/drawing/2014/main" id="{9BBC06AD-3F52-407F-8A45-B6CDF912CE3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1" name="Text 3">
          <a:extLst>
            <a:ext uri="{FF2B5EF4-FFF2-40B4-BE49-F238E27FC236}">
              <a16:creationId xmlns:a16="http://schemas.microsoft.com/office/drawing/2014/main" id="{BFC120DA-D79D-4C2D-8DE8-CE106FC7D31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2" name="Text 3">
          <a:extLst>
            <a:ext uri="{FF2B5EF4-FFF2-40B4-BE49-F238E27FC236}">
              <a16:creationId xmlns:a16="http://schemas.microsoft.com/office/drawing/2014/main" id="{128837BB-CD73-4ECE-A866-DCA64CF8647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3" name="Text 3">
          <a:extLst>
            <a:ext uri="{FF2B5EF4-FFF2-40B4-BE49-F238E27FC236}">
              <a16:creationId xmlns:a16="http://schemas.microsoft.com/office/drawing/2014/main" id="{95567D36-5AAF-4516-AA31-F9637C0272D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4" name="Text 3">
          <a:extLst>
            <a:ext uri="{FF2B5EF4-FFF2-40B4-BE49-F238E27FC236}">
              <a16:creationId xmlns:a16="http://schemas.microsoft.com/office/drawing/2014/main" id="{DC7257E6-273A-469B-BB4B-E67589F4075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5" name="Text 3">
          <a:extLst>
            <a:ext uri="{FF2B5EF4-FFF2-40B4-BE49-F238E27FC236}">
              <a16:creationId xmlns:a16="http://schemas.microsoft.com/office/drawing/2014/main" id="{5DD4BD07-A180-40DF-8FC3-A48A36D3BA7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6" name="Text 3">
          <a:extLst>
            <a:ext uri="{FF2B5EF4-FFF2-40B4-BE49-F238E27FC236}">
              <a16:creationId xmlns:a16="http://schemas.microsoft.com/office/drawing/2014/main" id="{37491E26-F8D7-4763-8691-BD8F5B8FE4D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7" name="Text 3">
          <a:extLst>
            <a:ext uri="{FF2B5EF4-FFF2-40B4-BE49-F238E27FC236}">
              <a16:creationId xmlns:a16="http://schemas.microsoft.com/office/drawing/2014/main" id="{42A00C87-366E-4264-9C55-7DCA72067D0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8" name="Text 3">
          <a:extLst>
            <a:ext uri="{FF2B5EF4-FFF2-40B4-BE49-F238E27FC236}">
              <a16:creationId xmlns:a16="http://schemas.microsoft.com/office/drawing/2014/main" id="{BB7707A3-A92E-44A3-A537-9EF286B2D9E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9" name="Text 3">
          <a:extLst>
            <a:ext uri="{FF2B5EF4-FFF2-40B4-BE49-F238E27FC236}">
              <a16:creationId xmlns:a16="http://schemas.microsoft.com/office/drawing/2014/main" id="{DCEB6896-4996-4FCB-AAD7-0CBEA5B681D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60" name="Text 3">
          <a:extLst>
            <a:ext uri="{FF2B5EF4-FFF2-40B4-BE49-F238E27FC236}">
              <a16:creationId xmlns:a16="http://schemas.microsoft.com/office/drawing/2014/main" id="{8482C050-9E8A-49A7-8F59-CDAF36DF74C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61" name="Text 3">
          <a:extLst>
            <a:ext uri="{FF2B5EF4-FFF2-40B4-BE49-F238E27FC236}">
              <a16:creationId xmlns:a16="http://schemas.microsoft.com/office/drawing/2014/main" id="{0C8BF26B-65CC-4028-B140-10343D3FD67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62" name="Text 3">
          <a:extLst>
            <a:ext uri="{FF2B5EF4-FFF2-40B4-BE49-F238E27FC236}">
              <a16:creationId xmlns:a16="http://schemas.microsoft.com/office/drawing/2014/main" id="{D6F29CFE-5670-4EF5-80C1-97E7A28CA92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63" name="Text 3">
          <a:extLst>
            <a:ext uri="{FF2B5EF4-FFF2-40B4-BE49-F238E27FC236}">
              <a16:creationId xmlns:a16="http://schemas.microsoft.com/office/drawing/2014/main" id="{6DE4D7F2-0D6A-4240-84D5-4A22CED440A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64" name="Text 3">
          <a:extLst>
            <a:ext uri="{FF2B5EF4-FFF2-40B4-BE49-F238E27FC236}">
              <a16:creationId xmlns:a16="http://schemas.microsoft.com/office/drawing/2014/main" id="{A9A488D2-EEF8-40FD-A111-4AE3442023A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65" name="Text 3">
          <a:extLst>
            <a:ext uri="{FF2B5EF4-FFF2-40B4-BE49-F238E27FC236}">
              <a16:creationId xmlns:a16="http://schemas.microsoft.com/office/drawing/2014/main" id="{8674FF36-9460-4F6C-9392-AF91F46B652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66" name="Text 3">
          <a:extLst>
            <a:ext uri="{FF2B5EF4-FFF2-40B4-BE49-F238E27FC236}">
              <a16:creationId xmlns:a16="http://schemas.microsoft.com/office/drawing/2014/main" id="{F2044585-B74D-42EB-9EC2-7751C628EAF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67" name="Text 3">
          <a:extLst>
            <a:ext uri="{FF2B5EF4-FFF2-40B4-BE49-F238E27FC236}">
              <a16:creationId xmlns:a16="http://schemas.microsoft.com/office/drawing/2014/main" id="{88709110-F43A-41CD-AA66-51A2E27F0E1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68" name="Text 3">
          <a:extLst>
            <a:ext uri="{FF2B5EF4-FFF2-40B4-BE49-F238E27FC236}">
              <a16:creationId xmlns:a16="http://schemas.microsoft.com/office/drawing/2014/main" id="{10C75377-DA2A-4A02-B1EB-B4073B705BC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69" name="Text 3">
          <a:extLst>
            <a:ext uri="{FF2B5EF4-FFF2-40B4-BE49-F238E27FC236}">
              <a16:creationId xmlns:a16="http://schemas.microsoft.com/office/drawing/2014/main" id="{208E489F-CCDE-4280-9F8E-50D3552702E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70" name="Text 3">
          <a:extLst>
            <a:ext uri="{FF2B5EF4-FFF2-40B4-BE49-F238E27FC236}">
              <a16:creationId xmlns:a16="http://schemas.microsoft.com/office/drawing/2014/main" id="{A30A5AF6-B71E-4B01-A137-32179CC6EC3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71" name="Text 3">
          <a:extLst>
            <a:ext uri="{FF2B5EF4-FFF2-40B4-BE49-F238E27FC236}">
              <a16:creationId xmlns:a16="http://schemas.microsoft.com/office/drawing/2014/main" id="{92F2D03D-D40B-4F76-9627-941BC7A2CF2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72" name="Text 3">
          <a:extLst>
            <a:ext uri="{FF2B5EF4-FFF2-40B4-BE49-F238E27FC236}">
              <a16:creationId xmlns:a16="http://schemas.microsoft.com/office/drawing/2014/main" id="{2652FF1A-9C77-4EED-B101-B02ABB3D7B5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73" name="Text 3">
          <a:extLst>
            <a:ext uri="{FF2B5EF4-FFF2-40B4-BE49-F238E27FC236}">
              <a16:creationId xmlns:a16="http://schemas.microsoft.com/office/drawing/2014/main" id="{DBA692A5-0033-438B-AB33-816B2D53B43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74" name="Text 3">
          <a:extLst>
            <a:ext uri="{FF2B5EF4-FFF2-40B4-BE49-F238E27FC236}">
              <a16:creationId xmlns:a16="http://schemas.microsoft.com/office/drawing/2014/main" id="{6991AB13-62FB-41D4-8BAF-0D3BF2556D2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75" name="Text 3">
          <a:extLst>
            <a:ext uri="{FF2B5EF4-FFF2-40B4-BE49-F238E27FC236}">
              <a16:creationId xmlns:a16="http://schemas.microsoft.com/office/drawing/2014/main" id="{228499A4-9167-4FC5-86C7-2F287F22D18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76" name="Text 3">
          <a:extLst>
            <a:ext uri="{FF2B5EF4-FFF2-40B4-BE49-F238E27FC236}">
              <a16:creationId xmlns:a16="http://schemas.microsoft.com/office/drawing/2014/main" id="{B32679DC-7A05-4819-A382-CB21EFD688D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77" name="Text 3">
          <a:extLst>
            <a:ext uri="{FF2B5EF4-FFF2-40B4-BE49-F238E27FC236}">
              <a16:creationId xmlns:a16="http://schemas.microsoft.com/office/drawing/2014/main" id="{ACC61030-FE4B-4ED2-89DE-80476456FEE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78" name="Text 3">
          <a:extLst>
            <a:ext uri="{FF2B5EF4-FFF2-40B4-BE49-F238E27FC236}">
              <a16:creationId xmlns:a16="http://schemas.microsoft.com/office/drawing/2014/main" id="{1749BE45-2F9C-470E-BA66-1234BF4183E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79" name="Text 3">
          <a:extLst>
            <a:ext uri="{FF2B5EF4-FFF2-40B4-BE49-F238E27FC236}">
              <a16:creationId xmlns:a16="http://schemas.microsoft.com/office/drawing/2014/main" id="{84F24BF6-AEE8-4A8A-9FFB-7533FF94C49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80" name="Text 3">
          <a:extLst>
            <a:ext uri="{FF2B5EF4-FFF2-40B4-BE49-F238E27FC236}">
              <a16:creationId xmlns:a16="http://schemas.microsoft.com/office/drawing/2014/main" id="{5B627369-404D-4CD4-BA19-A1D69A7B764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81" name="Text 3">
          <a:extLst>
            <a:ext uri="{FF2B5EF4-FFF2-40B4-BE49-F238E27FC236}">
              <a16:creationId xmlns:a16="http://schemas.microsoft.com/office/drawing/2014/main" id="{F3B025AA-A885-44D9-B84D-84C38C0728B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82" name="Text 3">
          <a:extLst>
            <a:ext uri="{FF2B5EF4-FFF2-40B4-BE49-F238E27FC236}">
              <a16:creationId xmlns:a16="http://schemas.microsoft.com/office/drawing/2014/main" id="{33EEC3A4-FBCF-417D-B604-262B3529964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83" name="Text 3">
          <a:extLst>
            <a:ext uri="{FF2B5EF4-FFF2-40B4-BE49-F238E27FC236}">
              <a16:creationId xmlns:a16="http://schemas.microsoft.com/office/drawing/2014/main" id="{7E6202A3-725C-4BC7-85AF-AAE14A232D4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84" name="Text 3">
          <a:extLst>
            <a:ext uri="{FF2B5EF4-FFF2-40B4-BE49-F238E27FC236}">
              <a16:creationId xmlns:a16="http://schemas.microsoft.com/office/drawing/2014/main" id="{8A60C5AA-E361-44AA-A20A-D3523801BEC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85" name="Text 3">
          <a:extLst>
            <a:ext uri="{FF2B5EF4-FFF2-40B4-BE49-F238E27FC236}">
              <a16:creationId xmlns:a16="http://schemas.microsoft.com/office/drawing/2014/main" id="{FB7448BC-3CDC-4478-8B65-281DD1D5EA0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86" name="Text 3">
          <a:extLst>
            <a:ext uri="{FF2B5EF4-FFF2-40B4-BE49-F238E27FC236}">
              <a16:creationId xmlns:a16="http://schemas.microsoft.com/office/drawing/2014/main" id="{730A0E55-A830-4AB6-ADEC-359047D164C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87" name="Text 3">
          <a:extLst>
            <a:ext uri="{FF2B5EF4-FFF2-40B4-BE49-F238E27FC236}">
              <a16:creationId xmlns:a16="http://schemas.microsoft.com/office/drawing/2014/main" id="{D7B90D1E-13C2-489F-A6D8-831C15F79C1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88" name="Text 3">
          <a:extLst>
            <a:ext uri="{FF2B5EF4-FFF2-40B4-BE49-F238E27FC236}">
              <a16:creationId xmlns:a16="http://schemas.microsoft.com/office/drawing/2014/main" id="{04930F52-5553-4586-9357-16EFC4AF728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89" name="Text 3">
          <a:extLst>
            <a:ext uri="{FF2B5EF4-FFF2-40B4-BE49-F238E27FC236}">
              <a16:creationId xmlns:a16="http://schemas.microsoft.com/office/drawing/2014/main" id="{58CEA7AA-3432-40D4-AE3F-A8FF84DA7AB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90" name="Text 3">
          <a:extLst>
            <a:ext uri="{FF2B5EF4-FFF2-40B4-BE49-F238E27FC236}">
              <a16:creationId xmlns:a16="http://schemas.microsoft.com/office/drawing/2014/main" id="{331A4057-E205-4DD1-A336-79FB168A415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91" name="Text 3">
          <a:extLst>
            <a:ext uri="{FF2B5EF4-FFF2-40B4-BE49-F238E27FC236}">
              <a16:creationId xmlns:a16="http://schemas.microsoft.com/office/drawing/2014/main" id="{E87CD9F5-5C77-4242-B1CC-B36D9B2CC5B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92" name="Text 3">
          <a:extLst>
            <a:ext uri="{FF2B5EF4-FFF2-40B4-BE49-F238E27FC236}">
              <a16:creationId xmlns:a16="http://schemas.microsoft.com/office/drawing/2014/main" id="{DE530709-AD4F-413F-A594-583C1BEC413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93" name="Text 3">
          <a:extLst>
            <a:ext uri="{FF2B5EF4-FFF2-40B4-BE49-F238E27FC236}">
              <a16:creationId xmlns:a16="http://schemas.microsoft.com/office/drawing/2014/main" id="{7F873B12-C265-4A5B-AD08-F9E5B7BACC4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94" name="Text 3">
          <a:extLst>
            <a:ext uri="{FF2B5EF4-FFF2-40B4-BE49-F238E27FC236}">
              <a16:creationId xmlns:a16="http://schemas.microsoft.com/office/drawing/2014/main" id="{2F88723E-7A95-46CD-917B-A2FAD6FCD78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95" name="Text 3">
          <a:extLst>
            <a:ext uri="{FF2B5EF4-FFF2-40B4-BE49-F238E27FC236}">
              <a16:creationId xmlns:a16="http://schemas.microsoft.com/office/drawing/2014/main" id="{17851C7C-AAF1-4D3F-B266-52353900364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96" name="Text 3">
          <a:extLst>
            <a:ext uri="{FF2B5EF4-FFF2-40B4-BE49-F238E27FC236}">
              <a16:creationId xmlns:a16="http://schemas.microsoft.com/office/drawing/2014/main" id="{898561C8-236F-4031-93EA-88059AD367D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97" name="Text 3">
          <a:extLst>
            <a:ext uri="{FF2B5EF4-FFF2-40B4-BE49-F238E27FC236}">
              <a16:creationId xmlns:a16="http://schemas.microsoft.com/office/drawing/2014/main" id="{5B1687EC-C53E-465D-BC2C-F07F40A9269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98" name="Text 3">
          <a:extLst>
            <a:ext uri="{FF2B5EF4-FFF2-40B4-BE49-F238E27FC236}">
              <a16:creationId xmlns:a16="http://schemas.microsoft.com/office/drawing/2014/main" id="{651B8143-4246-4354-ADB0-161AF87DFF1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99" name="Text 3">
          <a:extLst>
            <a:ext uri="{FF2B5EF4-FFF2-40B4-BE49-F238E27FC236}">
              <a16:creationId xmlns:a16="http://schemas.microsoft.com/office/drawing/2014/main" id="{82521F08-FB2C-4CB2-9ED0-2ADE2BF0928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00" name="Text 3">
          <a:extLst>
            <a:ext uri="{FF2B5EF4-FFF2-40B4-BE49-F238E27FC236}">
              <a16:creationId xmlns:a16="http://schemas.microsoft.com/office/drawing/2014/main" id="{0F6B2119-EA4C-4C1C-9F4B-971C8F0D5AC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01" name="Text 3">
          <a:extLst>
            <a:ext uri="{FF2B5EF4-FFF2-40B4-BE49-F238E27FC236}">
              <a16:creationId xmlns:a16="http://schemas.microsoft.com/office/drawing/2014/main" id="{2B24D796-3FAD-44D9-B03C-657AEFC444F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02" name="Text 3">
          <a:extLst>
            <a:ext uri="{FF2B5EF4-FFF2-40B4-BE49-F238E27FC236}">
              <a16:creationId xmlns:a16="http://schemas.microsoft.com/office/drawing/2014/main" id="{FDF36B6F-1C51-4F9B-A3E2-DD1AD1380B8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03" name="Text 3">
          <a:extLst>
            <a:ext uri="{FF2B5EF4-FFF2-40B4-BE49-F238E27FC236}">
              <a16:creationId xmlns:a16="http://schemas.microsoft.com/office/drawing/2014/main" id="{E6B68237-B976-4AC0-B9A7-FB2315B0D18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04" name="Text 3">
          <a:extLst>
            <a:ext uri="{FF2B5EF4-FFF2-40B4-BE49-F238E27FC236}">
              <a16:creationId xmlns:a16="http://schemas.microsoft.com/office/drawing/2014/main" id="{FE6AE596-3E6A-4451-8791-56A0B01A794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05" name="Text 3">
          <a:extLst>
            <a:ext uri="{FF2B5EF4-FFF2-40B4-BE49-F238E27FC236}">
              <a16:creationId xmlns:a16="http://schemas.microsoft.com/office/drawing/2014/main" id="{F243A43D-8214-4203-AD67-B1507EDC061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06" name="Text 3">
          <a:extLst>
            <a:ext uri="{FF2B5EF4-FFF2-40B4-BE49-F238E27FC236}">
              <a16:creationId xmlns:a16="http://schemas.microsoft.com/office/drawing/2014/main" id="{30324617-BA20-4E90-93C0-7D077CF3568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07" name="Text 3">
          <a:extLst>
            <a:ext uri="{FF2B5EF4-FFF2-40B4-BE49-F238E27FC236}">
              <a16:creationId xmlns:a16="http://schemas.microsoft.com/office/drawing/2014/main" id="{03F2B79C-C5D8-4AD0-BDF3-97AF57CD50C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08" name="Text 3">
          <a:extLst>
            <a:ext uri="{FF2B5EF4-FFF2-40B4-BE49-F238E27FC236}">
              <a16:creationId xmlns:a16="http://schemas.microsoft.com/office/drawing/2014/main" id="{14AAF3C4-12C4-40B7-B7B4-A2FB1D948C4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09" name="Text 3">
          <a:extLst>
            <a:ext uri="{FF2B5EF4-FFF2-40B4-BE49-F238E27FC236}">
              <a16:creationId xmlns:a16="http://schemas.microsoft.com/office/drawing/2014/main" id="{375B8D5D-0FE8-490F-A25E-F19B31080C5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10" name="Text 3">
          <a:extLst>
            <a:ext uri="{FF2B5EF4-FFF2-40B4-BE49-F238E27FC236}">
              <a16:creationId xmlns:a16="http://schemas.microsoft.com/office/drawing/2014/main" id="{CD0ED4B6-8428-43E7-993E-8EAE2445759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11" name="Text 3">
          <a:extLst>
            <a:ext uri="{FF2B5EF4-FFF2-40B4-BE49-F238E27FC236}">
              <a16:creationId xmlns:a16="http://schemas.microsoft.com/office/drawing/2014/main" id="{3ABB93FC-8F85-4CED-8A13-151E8B96FF5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12" name="Text 3">
          <a:extLst>
            <a:ext uri="{FF2B5EF4-FFF2-40B4-BE49-F238E27FC236}">
              <a16:creationId xmlns:a16="http://schemas.microsoft.com/office/drawing/2014/main" id="{A5B4AB8F-CD55-4397-83C0-6248A50D4C8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13" name="Text 3">
          <a:extLst>
            <a:ext uri="{FF2B5EF4-FFF2-40B4-BE49-F238E27FC236}">
              <a16:creationId xmlns:a16="http://schemas.microsoft.com/office/drawing/2014/main" id="{16579C3F-2DD0-4E23-AF9B-4992FFCFA14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14" name="Text 3">
          <a:extLst>
            <a:ext uri="{FF2B5EF4-FFF2-40B4-BE49-F238E27FC236}">
              <a16:creationId xmlns:a16="http://schemas.microsoft.com/office/drawing/2014/main" id="{FAC08D07-A23B-4EE0-8F25-01920B85A58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15" name="Text 3">
          <a:extLst>
            <a:ext uri="{FF2B5EF4-FFF2-40B4-BE49-F238E27FC236}">
              <a16:creationId xmlns:a16="http://schemas.microsoft.com/office/drawing/2014/main" id="{B278BC90-B5A4-4AAC-8CD2-B4282B8830D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16" name="Text 3">
          <a:extLst>
            <a:ext uri="{FF2B5EF4-FFF2-40B4-BE49-F238E27FC236}">
              <a16:creationId xmlns:a16="http://schemas.microsoft.com/office/drawing/2014/main" id="{4F4D3934-F761-4CB7-AA9E-DD7FC781769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17" name="Text 3">
          <a:extLst>
            <a:ext uri="{FF2B5EF4-FFF2-40B4-BE49-F238E27FC236}">
              <a16:creationId xmlns:a16="http://schemas.microsoft.com/office/drawing/2014/main" id="{9F8E2ADA-01C0-4C54-98BF-3465FF78509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18" name="Text 3">
          <a:extLst>
            <a:ext uri="{FF2B5EF4-FFF2-40B4-BE49-F238E27FC236}">
              <a16:creationId xmlns:a16="http://schemas.microsoft.com/office/drawing/2014/main" id="{260CA6F1-651D-45C6-84F1-74F41BB4718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19" name="Text 3">
          <a:extLst>
            <a:ext uri="{FF2B5EF4-FFF2-40B4-BE49-F238E27FC236}">
              <a16:creationId xmlns:a16="http://schemas.microsoft.com/office/drawing/2014/main" id="{67548287-3585-46A7-B113-5DC15A27158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20" name="Text 3">
          <a:extLst>
            <a:ext uri="{FF2B5EF4-FFF2-40B4-BE49-F238E27FC236}">
              <a16:creationId xmlns:a16="http://schemas.microsoft.com/office/drawing/2014/main" id="{F55641E7-FEC0-4CDE-B02D-686F259F6FF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21" name="Text 3">
          <a:extLst>
            <a:ext uri="{FF2B5EF4-FFF2-40B4-BE49-F238E27FC236}">
              <a16:creationId xmlns:a16="http://schemas.microsoft.com/office/drawing/2014/main" id="{2C645C1B-0CB9-4510-B18F-F1FE5172FC4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22" name="Text 3">
          <a:extLst>
            <a:ext uri="{FF2B5EF4-FFF2-40B4-BE49-F238E27FC236}">
              <a16:creationId xmlns:a16="http://schemas.microsoft.com/office/drawing/2014/main" id="{5E6B4E01-9D01-40EB-AF9E-67A98E0CDC5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23" name="Text 3">
          <a:extLst>
            <a:ext uri="{FF2B5EF4-FFF2-40B4-BE49-F238E27FC236}">
              <a16:creationId xmlns:a16="http://schemas.microsoft.com/office/drawing/2014/main" id="{84B440A3-BA8E-4B35-8795-01F16F31538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24" name="Text 3">
          <a:extLst>
            <a:ext uri="{FF2B5EF4-FFF2-40B4-BE49-F238E27FC236}">
              <a16:creationId xmlns:a16="http://schemas.microsoft.com/office/drawing/2014/main" id="{356173D3-5AC8-4B38-99DA-D043D765600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25" name="Text 3">
          <a:extLst>
            <a:ext uri="{FF2B5EF4-FFF2-40B4-BE49-F238E27FC236}">
              <a16:creationId xmlns:a16="http://schemas.microsoft.com/office/drawing/2014/main" id="{B75483A3-8CED-4B95-ACDB-8EDB662C6C4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26" name="Text 3">
          <a:extLst>
            <a:ext uri="{FF2B5EF4-FFF2-40B4-BE49-F238E27FC236}">
              <a16:creationId xmlns:a16="http://schemas.microsoft.com/office/drawing/2014/main" id="{E6A8F70E-175D-463B-A6A9-36D466B07A8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27" name="Text 3">
          <a:extLst>
            <a:ext uri="{FF2B5EF4-FFF2-40B4-BE49-F238E27FC236}">
              <a16:creationId xmlns:a16="http://schemas.microsoft.com/office/drawing/2014/main" id="{F4E56A03-27A6-4356-AA8A-5A07EF7623F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28" name="Text 3">
          <a:extLst>
            <a:ext uri="{FF2B5EF4-FFF2-40B4-BE49-F238E27FC236}">
              <a16:creationId xmlns:a16="http://schemas.microsoft.com/office/drawing/2014/main" id="{753D2A66-F17C-4431-A4F5-09A83D7ABE5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29" name="Text 3">
          <a:extLst>
            <a:ext uri="{FF2B5EF4-FFF2-40B4-BE49-F238E27FC236}">
              <a16:creationId xmlns:a16="http://schemas.microsoft.com/office/drawing/2014/main" id="{C38D4001-BFFF-41F3-B282-A703A1E4B6D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30" name="Text 3">
          <a:extLst>
            <a:ext uri="{FF2B5EF4-FFF2-40B4-BE49-F238E27FC236}">
              <a16:creationId xmlns:a16="http://schemas.microsoft.com/office/drawing/2014/main" id="{9C65AD00-D759-4609-A77F-80583A49B4B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31" name="Text 3">
          <a:extLst>
            <a:ext uri="{FF2B5EF4-FFF2-40B4-BE49-F238E27FC236}">
              <a16:creationId xmlns:a16="http://schemas.microsoft.com/office/drawing/2014/main" id="{2F463CB9-F68F-434F-A2C2-E8AAE234B9A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32" name="Text 3">
          <a:extLst>
            <a:ext uri="{FF2B5EF4-FFF2-40B4-BE49-F238E27FC236}">
              <a16:creationId xmlns:a16="http://schemas.microsoft.com/office/drawing/2014/main" id="{9B817A82-0617-462C-ACAC-2187C83250C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33" name="Text 3">
          <a:extLst>
            <a:ext uri="{FF2B5EF4-FFF2-40B4-BE49-F238E27FC236}">
              <a16:creationId xmlns:a16="http://schemas.microsoft.com/office/drawing/2014/main" id="{E60A60A0-78D7-401C-8252-FA347CA3F2A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34" name="Text 3">
          <a:extLst>
            <a:ext uri="{FF2B5EF4-FFF2-40B4-BE49-F238E27FC236}">
              <a16:creationId xmlns:a16="http://schemas.microsoft.com/office/drawing/2014/main" id="{B9AAC4FC-DAB8-48AD-A20E-808CA1AB5CE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35" name="Text 3">
          <a:extLst>
            <a:ext uri="{FF2B5EF4-FFF2-40B4-BE49-F238E27FC236}">
              <a16:creationId xmlns:a16="http://schemas.microsoft.com/office/drawing/2014/main" id="{98B9DB2D-2160-402C-A089-5F5BD99A226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36" name="Text 3">
          <a:extLst>
            <a:ext uri="{FF2B5EF4-FFF2-40B4-BE49-F238E27FC236}">
              <a16:creationId xmlns:a16="http://schemas.microsoft.com/office/drawing/2014/main" id="{9261E23B-CE27-426E-97F0-517B7CEBC73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37" name="Text 3">
          <a:extLst>
            <a:ext uri="{FF2B5EF4-FFF2-40B4-BE49-F238E27FC236}">
              <a16:creationId xmlns:a16="http://schemas.microsoft.com/office/drawing/2014/main" id="{F1C9428B-647F-476D-A5E2-AAB18084FA9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38" name="Text 3">
          <a:extLst>
            <a:ext uri="{FF2B5EF4-FFF2-40B4-BE49-F238E27FC236}">
              <a16:creationId xmlns:a16="http://schemas.microsoft.com/office/drawing/2014/main" id="{BC69D492-E5CE-4F02-907F-2367E6A0A04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39" name="Text 3">
          <a:extLst>
            <a:ext uri="{FF2B5EF4-FFF2-40B4-BE49-F238E27FC236}">
              <a16:creationId xmlns:a16="http://schemas.microsoft.com/office/drawing/2014/main" id="{69A55263-624F-4D85-ACAE-5384C1510AD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40" name="Text 3">
          <a:extLst>
            <a:ext uri="{FF2B5EF4-FFF2-40B4-BE49-F238E27FC236}">
              <a16:creationId xmlns:a16="http://schemas.microsoft.com/office/drawing/2014/main" id="{F9A10092-160A-4E4E-B3C8-7666172AA9B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41" name="Text 3">
          <a:extLst>
            <a:ext uri="{FF2B5EF4-FFF2-40B4-BE49-F238E27FC236}">
              <a16:creationId xmlns:a16="http://schemas.microsoft.com/office/drawing/2014/main" id="{80C59BD4-4D09-40F2-92E1-980F839BC94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42" name="Text 3">
          <a:extLst>
            <a:ext uri="{FF2B5EF4-FFF2-40B4-BE49-F238E27FC236}">
              <a16:creationId xmlns:a16="http://schemas.microsoft.com/office/drawing/2014/main" id="{9A0C7688-D9AE-4EB1-9C0E-C6959EA5B2E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43" name="Text 3">
          <a:extLst>
            <a:ext uri="{FF2B5EF4-FFF2-40B4-BE49-F238E27FC236}">
              <a16:creationId xmlns:a16="http://schemas.microsoft.com/office/drawing/2014/main" id="{3F7CC00E-6804-4CC6-B28A-D1D6666E972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44" name="Text 3">
          <a:extLst>
            <a:ext uri="{FF2B5EF4-FFF2-40B4-BE49-F238E27FC236}">
              <a16:creationId xmlns:a16="http://schemas.microsoft.com/office/drawing/2014/main" id="{E4F203C3-3792-460F-B462-FFFBD2FD8BE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45" name="Text 3">
          <a:extLst>
            <a:ext uri="{FF2B5EF4-FFF2-40B4-BE49-F238E27FC236}">
              <a16:creationId xmlns:a16="http://schemas.microsoft.com/office/drawing/2014/main" id="{661946E5-95BA-4640-A322-CB5F052D1CB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46" name="Text 3">
          <a:extLst>
            <a:ext uri="{FF2B5EF4-FFF2-40B4-BE49-F238E27FC236}">
              <a16:creationId xmlns:a16="http://schemas.microsoft.com/office/drawing/2014/main" id="{B1550260-6EA9-48E0-90A6-D41FB24C9EE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47" name="Text 3">
          <a:extLst>
            <a:ext uri="{FF2B5EF4-FFF2-40B4-BE49-F238E27FC236}">
              <a16:creationId xmlns:a16="http://schemas.microsoft.com/office/drawing/2014/main" id="{BAF59EB1-801A-4767-9EAD-C3CB83A080D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48" name="Text 3">
          <a:extLst>
            <a:ext uri="{FF2B5EF4-FFF2-40B4-BE49-F238E27FC236}">
              <a16:creationId xmlns:a16="http://schemas.microsoft.com/office/drawing/2014/main" id="{EF39966F-35AF-450D-83CC-3AA52B37324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49" name="Text 3">
          <a:extLst>
            <a:ext uri="{FF2B5EF4-FFF2-40B4-BE49-F238E27FC236}">
              <a16:creationId xmlns:a16="http://schemas.microsoft.com/office/drawing/2014/main" id="{84B879DD-CE35-4461-BF46-205326DE0E3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50" name="Text 3">
          <a:extLst>
            <a:ext uri="{FF2B5EF4-FFF2-40B4-BE49-F238E27FC236}">
              <a16:creationId xmlns:a16="http://schemas.microsoft.com/office/drawing/2014/main" id="{24DB982B-2C31-46BD-B675-0C7CD0A107B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51" name="Text 3">
          <a:extLst>
            <a:ext uri="{FF2B5EF4-FFF2-40B4-BE49-F238E27FC236}">
              <a16:creationId xmlns:a16="http://schemas.microsoft.com/office/drawing/2014/main" id="{DD597331-9062-4287-8A77-B365615D7AF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52" name="Text 3">
          <a:extLst>
            <a:ext uri="{FF2B5EF4-FFF2-40B4-BE49-F238E27FC236}">
              <a16:creationId xmlns:a16="http://schemas.microsoft.com/office/drawing/2014/main" id="{C7439883-7484-4EBA-A877-A2473DC1F50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53" name="Text 3">
          <a:extLst>
            <a:ext uri="{FF2B5EF4-FFF2-40B4-BE49-F238E27FC236}">
              <a16:creationId xmlns:a16="http://schemas.microsoft.com/office/drawing/2014/main" id="{BE7C684D-71E4-4E68-BC4A-BA4573F3E3C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54" name="Text 3">
          <a:extLst>
            <a:ext uri="{FF2B5EF4-FFF2-40B4-BE49-F238E27FC236}">
              <a16:creationId xmlns:a16="http://schemas.microsoft.com/office/drawing/2014/main" id="{0D359F13-A4D1-4CD9-82DF-F795018CAA5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55" name="Text 3">
          <a:extLst>
            <a:ext uri="{FF2B5EF4-FFF2-40B4-BE49-F238E27FC236}">
              <a16:creationId xmlns:a16="http://schemas.microsoft.com/office/drawing/2014/main" id="{B8E7F0C6-4D51-4928-992E-A0017C163AE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56" name="Text 3">
          <a:extLst>
            <a:ext uri="{FF2B5EF4-FFF2-40B4-BE49-F238E27FC236}">
              <a16:creationId xmlns:a16="http://schemas.microsoft.com/office/drawing/2014/main" id="{4F7A3638-8562-4C55-BDD4-1509719A4A9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57" name="Text 3">
          <a:extLst>
            <a:ext uri="{FF2B5EF4-FFF2-40B4-BE49-F238E27FC236}">
              <a16:creationId xmlns:a16="http://schemas.microsoft.com/office/drawing/2014/main" id="{36683306-145B-4A96-A976-EE8B67D1E9D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58" name="Text 3">
          <a:extLst>
            <a:ext uri="{FF2B5EF4-FFF2-40B4-BE49-F238E27FC236}">
              <a16:creationId xmlns:a16="http://schemas.microsoft.com/office/drawing/2014/main" id="{FA543BD2-E2F3-440C-B1C2-7FA8FF3CBEA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59" name="Text 3">
          <a:extLst>
            <a:ext uri="{FF2B5EF4-FFF2-40B4-BE49-F238E27FC236}">
              <a16:creationId xmlns:a16="http://schemas.microsoft.com/office/drawing/2014/main" id="{0E44E88C-AB2A-4FD1-81DA-6FB1675FBE2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60" name="Text 3">
          <a:extLst>
            <a:ext uri="{FF2B5EF4-FFF2-40B4-BE49-F238E27FC236}">
              <a16:creationId xmlns:a16="http://schemas.microsoft.com/office/drawing/2014/main" id="{1AEDB5C1-D81A-4B19-A455-66A74BBBEA9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61" name="Text 3">
          <a:extLst>
            <a:ext uri="{FF2B5EF4-FFF2-40B4-BE49-F238E27FC236}">
              <a16:creationId xmlns:a16="http://schemas.microsoft.com/office/drawing/2014/main" id="{65CB4A4E-10F6-421A-9090-466B96E33E7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62" name="Text 3">
          <a:extLst>
            <a:ext uri="{FF2B5EF4-FFF2-40B4-BE49-F238E27FC236}">
              <a16:creationId xmlns:a16="http://schemas.microsoft.com/office/drawing/2014/main" id="{74D3792B-7E62-4342-9424-68DDEBEFA02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63" name="Text 3">
          <a:extLst>
            <a:ext uri="{FF2B5EF4-FFF2-40B4-BE49-F238E27FC236}">
              <a16:creationId xmlns:a16="http://schemas.microsoft.com/office/drawing/2014/main" id="{60275C1A-73A3-4E0E-A143-E7B6B1C1B94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64" name="Text 3">
          <a:extLst>
            <a:ext uri="{FF2B5EF4-FFF2-40B4-BE49-F238E27FC236}">
              <a16:creationId xmlns:a16="http://schemas.microsoft.com/office/drawing/2014/main" id="{48574C21-3695-46D5-9BC3-59B2A6344FD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65" name="Text 3">
          <a:extLst>
            <a:ext uri="{FF2B5EF4-FFF2-40B4-BE49-F238E27FC236}">
              <a16:creationId xmlns:a16="http://schemas.microsoft.com/office/drawing/2014/main" id="{45C03704-BD89-4DB2-A955-99E5061117D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66" name="Text 3">
          <a:extLst>
            <a:ext uri="{FF2B5EF4-FFF2-40B4-BE49-F238E27FC236}">
              <a16:creationId xmlns:a16="http://schemas.microsoft.com/office/drawing/2014/main" id="{A4FF6D3F-3D9B-430A-AAAE-5266952BEE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67" name="Text 3">
          <a:extLst>
            <a:ext uri="{FF2B5EF4-FFF2-40B4-BE49-F238E27FC236}">
              <a16:creationId xmlns:a16="http://schemas.microsoft.com/office/drawing/2014/main" id="{DF4FA0AB-5168-4BFE-9FA0-32C8469AC33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68" name="Text 3">
          <a:extLst>
            <a:ext uri="{FF2B5EF4-FFF2-40B4-BE49-F238E27FC236}">
              <a16:creationId xmlns:a16="http://schemas.microsoft.com/office/drawing/2014/main" id="{8D633B60-507A-4261-927E-BCC93F0B034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69" name="Text 3">
          <a:extLst>
            <a:ext uri="{FF2B5EF4-FFF2-40B4-BE49-F238E27FC236}">
              <a16:creationId xmlns:a16="http://schemas.microsoft.com/office/drawing/2014/main" id="{81167902-FF23-4F92-BD58-2B6CD2D192C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70" name="Text 3">
          <a:extLst>
            <a:ext uri="{FF2B5EF4-FFF2-40B4-BE49-F238E27FC236}">
              <a16:creationId xmlns:a16="http://schemas.microsoft.com/office/drawing/2014/main" id="{5ABF3BB6-1B55-4F95-AA22-F4A371E615E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71" name="Text 3">
          <a:extLst>
            <a:ext uri="{FF2B5EF4-FFF2-40B4-BE49-F238E27FC236}">
              <a16:creationId xmlns:a16="http://schemas.microsoft.com/office/drawing/2014/main" id="{480C8BF9-672E-41B7-B32C-374296EA1A8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72" name="Text 3">
          <a:extLst>
            <a:ext uri="{FF2B5EF4-FFF2-40B4-BE49-F238E27FC236}">
              <a16:creationId xmlns:a16="http://schemas.microsoft.com/office/drawing/2014/main" id="{DDE4CA37-E121-486B-81DC-2E0753B4F92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73" name="Text 3">
          <a:extLst>
            <a:ext uri="{FF2B5EF4-FFF2-40B4-BE49-F238E27FC236}">
              <a16:creationId xmlns:a16="http://schemas.microsoft.com/office/drawing/2014/main" id="{927EA834-BD4A-45B5-AB9A-464B83BDCB3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74" name="Text 3">
          <a:extLst>
            <a:ext uri="{FF2B5EF4-FFF2-40B4-BE49-F238E27FC236}">
              <a16:creationId xmlns:a16="http://schemas.microsoft.com/office/drawing/2014/main" id="{EE434EF6-DA27-43CB-B904-723E97E3391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75" name="Text 3">
          <a:extLst>
            <a:ext uri="{FF2B5EF4-FFF2-40B4-BE49-F238E27FC236}">
              <a16:creationId xmlns:a16="http://schemas.microsoft.com/office/drawing/2014/main" id="{B71607B3-6D8C-4694-947E-383D535D8A6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76" name="Text 3">
          <a:extLst>
            <a:ext uri="{FF2B5EF4-FFF2-40B4-BE49-F238E27FC236}">
              <a16:creationId xmlns:a16="http://schemas.microsoft.com/office/drawing/2014/main" id="{7BE550B7-ED7D-4549-B6B5-3128ADE257B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77" name="Text 3">
          <a:extLst>
            <a:ext uri="{FF2B5EF4-FFF2-40B4-BE49-F238E27FC236}">
              <a16:creationId xmlns:a16="http://schemas.microsoft.com/office/drawing/2014/main" id="{3A7E5AEA-215B-44F1-A19D-06D0D711325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78" name="Text 3">
          <a:extLst>
            <a:ext uri="{FF2B5EF4-FFF2-40B4-BE49-F238E27FC236}">
              <a16:creationId xmlns:a16="http://schemas.microsoft.com/office/drawing/2014/main" id="{87DA6919-6E1A-454F-BBBA-42E84249070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79" name="Text 3">
          <a:extLst>
            <a:ext uri="{FF2B5EF4-FFF2-40B4-BE49-F238E27FC236}">
              <a16:creationId xmlns:a16="http://schemas.microsoft.com/office/drawing/2014/main" id="{2D34A391-78B3-48D1-804B-BE63746AE11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80" name="Text 3">
          <a:extLst>
            <a:ext uri="{FF2B5EF4-FFF2-40B4-BE49-F238E27FC236}">
              <a16:creationId xmlns:a16="http://schemas.microsoft.com/office/drawing/2014/main" id="{256987B1-D916-4BCA-A977-73E5CD2CD14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81" name="Text 3">
          <a:extLst>
            <a:ext uri="{FF2B5EF4-FFF2-40B4-BE49-F238E27FC236}">
              <a16:creationId xmlns:a16="http://schemas.microsoft.com/office/drawing/2014/main" id="{1EBC0681-79CC-4919-9ACE-620967E90C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82" name="Text 3">
          <a:extLst>
            <a:ext uri="{FF2B5EF4-FFF2-40B4-BE49-F238E27FC236}">
              <a16:creationId xmlns:a16="http://schemas.microsoft.com/office/drawing/2014/main" id="{C4F1681C-D86E-455A-8ACC-69A6F7C60C8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83" name="Text 3">
          <a:extLst>
            <a:ext uri="{FF2B5EF4-FFF2-40B4-BE49-F238E27FC236}">
              <a16:creationId xmlns:a16="http://schemas.microsoft.com/office/drawing/2014/main" id="{FF5DCEA5-84E0-4AE8-B398-CCB1FC64F3D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84" name="Text 3">
          <a:extLst>
            <a:ext uri="{FF2B5EF4-FFF2-40B4-BE49-F238E27FC236}">
              <a16:creationId xmlns:a16="http://schemas.microsoft.com/office/drawing/2014/main" id="{595BB9B9-1976-4136-A050-6D377197513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85" name="Text 3">
          <a:extLst>
            <a:ext uri="{FF2B5EF4-FFF2-40B4-BE49-F238E27FC236}">
              <a16:creationId xmlns:a16="http://schemas.microsoft.com/office/drawing/2014/main" id="{23D98A4A-6EBA-4F10-8B6D-C95FEC3620E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86" name="Text 3">
          <a:extLst>
            <a:ext uri="{FF2B5EF4-FFF2-40B4-BE49-F238E27FC236}">
              <a16:creationId xmlns:a16="http://schemas.microsoft.com/office/drawing/2014/main" id="{DED24506-7856-4378-99F9-FBAA896918F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87" name="Text 3">
          <a:extLst>
            <a:ext uri="{FF2B5EF4-FFF2-40B4-BE49-F238E27FC236}">
              <a16:creationId xmlns:a16="http://schemas.microsoft.com/office/drawing/2014/main" id="{6D66E76A-C8B0-4FF4-8477-34C1F24A4A3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88" name="Text 3">
          <a:extLst>
            <a:ext uri="{FF2B5EF4-FFF2-40B4-BE49-F238E27FC236}">
              <a16:creationId xmlns:a16="http://schemas.microsoft.com/office/drawing/2014/main" id="{E134AF97-EF28-4438-9C6F-7C86129366A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89" name="Text 3">
          <a:extLst>
            <a:ext uri="{FF2B5EF4-FFF2-40B4-BE49-F238E27FC236}">
              <a16:creationId xmlns:a16="http://schemas.microsoft.com/office/drawing/2014/main" id="{478900E9-E301-46C4-B066-526D2BC3EAD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90" name="Text 3">
          <a:extLst>
            <a:ext uri="{FF2B5EF4-FFF2-40B4-BE49-F238E27FC236}">
              <a16:creationId xmlns:a16="http://schemas.microsoft.com/office/drawing/2014/main" id="{C18E8853-4507-4DF7-A577-D61EEA012A6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91" name="Text 3">
          <a:extLst>
            <a:ext uri="{FF2B5EF4-FFF2-40B4-BE49-F238E27FC236}">
              <a16:creationId xmlns:a16="http://schemas.microsoft.com/office/drawing/2014/main" id="{B45EBA47-7451-4632-BC22-7D6AA0A1A2E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92" name="Text 3">
          <a:extLst>
            <a:ext uri="{FF2B5EF4-FFF2-40B4-BE49-F238E27FC236}">
              <a16:creationId xmlns:a16="http://schemas.microsoft.com/office/drawing/2014/main" id="{0928590A-E946-4A75-9AFF-44ED88F0C94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93" name="Text 3">
          <a:extLst>
            <a:ext uri="{FF2B5EF4-FFF2-40B4-BE49-F238E27FC236}">
              <a16:creationId xmlns:a16="http://schemas.microsoft.com/office/drawing/2014/main" id="{37ECCE10-B484-4D76-A0B1-53E48196EB1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94" name="Text 3">
          <a:extLst>
            <a:ext uri="{FF2B5EF4-FFF2-40B4-BE49-F238E27FC236}">
              <a16:creationId xmlns:a16="http://schemas.microsoft.com/office/drawing/2014/main" id="{E277EFD3-5E8A-408D-A4AC-C2175E21A66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95" name="Text 3">
          <a:extLst>
            <a:ext uri="{FF2B5EF4-FFF2-40B4-BE49-F238E27FC236}">
              <a16:creationId xmlns:a16="http://schemas.microsoft.com/office/drawing/2014/main" id="{BC8F3BB9-356F-4E7A-8A67-26501151D22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96" name="Text 3">
          <a:extLst>
            <a:ext uri="{FF2B5EF4-FFF2-40B4-BE49-F238E27FC236}">
              <a16:creationId xmlns:a16="http://schemas.microsoft.com/office/drawing/2014/main" id="{A1CE51B0-32B1-4807-8ECB-A294190C41E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97" name="Text 3">
          <a:extLst>
            <a:ext uri="{FF2B5EF4-FFF2-40B4-BE49-F238E27FC236}">
              <a16:creationId xmlns:a16="http://schemas.microsoft.com/office/drawing/2014/main" id="{6BDB89D0-7904-498A-A521-70C7B73EABB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98" name="Text 3">
          <a:extLst>
            <a:ext uri="{FF2B5EF4-FFF2-40B4-BE49-F238E27FC236}">
              <a16:creationId xmlns:a16="http://schemas.microsoft.com/office/drawing/2014/main" id="{FCCB4B2C-B856-4E46-9613-34D4A65F61B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99" name="Text 3">
          <a:extLst>
            <a:ext uri="{FF2B5EF4-FFF2-40B4-BE49-F238E27FC236}">
              <a16:creationId xmlns:a16="http://schemas.microsoft.com/office/drawing/2014/main" id="{AE0477CD-FBFE-401B-B378-57A3B6A5FFF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00" name="Text 3">
          <a:extLst>
            <a:ext uri="{FF2B5EF4-FFF2-40B4-BE49-F238E27FC236}">
              <a16:creationId xmlns:a16="http://schemas.microsoft.com/office/drawing/2014/main" id="{ECE51517-A52F-428C-AD88-B317ADAEBA2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01" name="Text 3">
          <a:extLst>
            <a:ext uri="{FF2B5EF4-FFF2-40B4-BE49-F238E27FC236}">
              <a16:creationId xmlns:a16="http://schemas.microsoft.com/office/drawing/2014/main" id="{42A01DBA-832F-448C-BF13-3A47C57C598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02" name="Text 3">
          <a:extLst>
            <a:ext uri="{FF2B5EF4-FFF2-40B4-BE49-F238E27FC236}">
              <a16:creationId xmlns:a16="http://schemas.microsoft.com/office/drawing/2014/main" id="{C57F1D3E-71FD-4353-89FE-C1B0493FB77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03" name="Text 3">
          <a:extLst>
            <a:ext uri="{FF2B5EF4-FFF2-40B4-BE49-F238E27FC236}">
              <a16:creationId xmlns:a16="http://schemas.microsoft.com/office/drawing/2014/main" id="{59F12662-4DAC-4586-A362-3C002CE9835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04" name="Text 3">
          <a:extLst>
            <a:ext uri="{FF2B5EF4-FFF2-40B4-BE49-F238E27FC236}">
              <a16:creationId xmlns:a16="http://schemas.microsoft.com/office/drawing/2014/main" id="{88B5A035-8CE4-4932-828F-600D4FEE060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05" name="Text 3">
          <a:extLst>
            <a:ext uri="{FF2B5EF4-FFF2-40B4-BE49-F238E27FC236}">
              <a16:creationId xmlns:a16="http://schemas.microsoft.com/office/drawing/2014/main" id="{F3E52FB3-E0F8-44A6-8631-067E1C394BC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06" name="Text 3">
          <a:extLst>
            <a:ext uri="{FF2B5EF4-FFF2-40B4-BE49-F238E27FC236}">
              <a16:creationId xmlns:a16="http://schemas.microsoft.com/office/drawing/2014/main" id="{ED400C60-2E88-4E75-BABD-6CF57D4A2C3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07" name="Text 3">
          <a:extLst>
            <a:ext uri="{FF2B5EF4-FFF2-40B4-BE49-F238E27FC236}">
              <a16:creationId xmlns:a16="http://schemas.microsoft.com/office/drawing/2014/main" id="{13315B16-3E57-4E07-9D07-87CF99D5D59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08" name="Text 3">
          <a:extLst>
            <a:ext uri="{FF2B5EF4-FFF2-40B4-BE49-F238E27FC236}">
              <a16:creationId xmlns:a16="http://schemas.microsoft.com/office/drawing/2014/main" id="{B4D797F4-A593-4D92-9209-08F1DF3BFCF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09" name="Text 3">
          <a:extLst>
            <a:ext uri="{FF2B5EF4-FFF2-40B4-BE49-F238E27FC236}">
              <a16:creationId xmlns:a16="http://schemas.microsoft.com/office/drawing/2014/main" id="{9CC910FE-7EB1-4BB3-9482-649D67DE76A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10" name="Text 3">
          <a:extLst>
            <a:ext uri="{FF2B5EF4-FFF2-40B4-BE49-F238E27FC236}">
              <a16:creationId xmlns:a16="http://schemas.microsoft.com/office/drawing/2014/main" id="{8EC590FA-BBE4-4B82-ABF9-9C9C3023652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11" name="Text 3">
          <a:extLst>
            <a:ext uri="{FF2B5EF4-FFF2-40B4-BE49-F238E27FC236}">
              <a16:creationId xmlns:a16="http://schemas.microsoft.com/office/drawing/2014/main" id="{C3DDF2B5-4642-443B-BB6C-DA3914E5A35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12" name="Text 3">
          <a:extLst>
            <a:ext uri="{FF2B5EF4-FFF2-40B4-BE49-F238E27FC236}">
              <a16:creationId xmlns:a16="http://schemas.microsoft.com/office/drawing/2014/main" id="{C8681D28-74B3-4D37-B3EB-1DD05AE80BB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13" name="Text 3">
          <a:extLst>
            <a:ext uri="{FF2B5EF4-FFF2-40B4-BE49-F238E27FC236}">
              <a16:creationId xmlns:a16="http://schemas.microsoft.com/office/drawing/2014/main" id="{01C30210-9FA1-47F5-8178-9870501F94B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14" name="Text 3">
          <a:extLst>
            <a:ext uri="{FF2B5EF4-FFF2-40B4-BE49-F238E27FC236}">
              <a16:creationId xmlns:a16="http://schemas.microsoft.com/office/drawing/2014/main" id="{E1BCAE83-8E55-4868-B093-52F1EEEABF5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15" name="Text 3">
          <a:extLst>
            <a:ext uri="{FF2B5EF4-FFF2-40B4-BE49-F238E27FC236}">
              <a16:creationId xmlns:a16="http://schemas.microsoft.com/office/drawing/2014/main" id="{1FDF1F4F-F3BF-4BD5-93CD-0BECFF57877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16" name="Text 3">
          <a:extLst>
            <a:ext uri="{FF2B5EF4-FFF2-40B4-BE49-F238E27FC236}">
              <a16:creationId xmlns:a16="http://schemas.microsoft.com/office/drawing/2014/main" id="{2B17D454-E264-435F-8959-24F7EC20466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17" name="Text 3">
          <a:extLst>
            <a:ext uri="{FF2B5EF4-FFF2-40B4-BE49-F238E27FC236}">
              <a16:creationId xmlns:a16="http://schemas.microsoft.com/office/drawing/2014/main" id="{45FF9B69-B415-4F53-90CA-F5E3B4E7937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18" name="Text 3">
          <a:extLst>
            <a:ext uri="{FF2B5EF4-FFF2-40B4-BE49-F238E27FC236}">
              <a16:creationId xmlns:a16="http://schemas.microsoft.com/office/drawing/2014/main" id="{BA060E79-704A-4F28-9D74-189077B40A3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19" name="Text 3">
          <a:extLst>
            <a:ext uri="{FF2B5EF4-FFF2-40B4-BE49-F238E27FC236}">
              <a16:creationId xmlns:a16="http://schemas.microsoft.com/office/drawing/2014/main" id="{165C8233-7795-4451-9A6D-3E99328F866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20" name="Text 3">
          <a:extLst>
            <a:ext uri="{FF2B5EF4-FFF2-40B4-BE49-F238E27FC236}">
              <a16:creationId xmlns:a16="http://schemas.microsoft.com/office/drawing/2014/main" id="{86228706-E2A9-41E9-B07F-758D62B37BB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21" name="Text 3">
          <a:extLst>
            <a:ext uri="{FF2B5EF4-FFF2-40B4-BE49-F238E27FC236}">
              <a16:creationId xmlns:a16="http://schemas.microsoft.com/office/drawing/2014/main" id="{E9D04C23-B750-4689-9DC8-E3C229E2D2E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22" name="Text 3">
          <a:extLst>
            <a:ext uri="{FF2B5EF4-FFF2-40B4-BE49-F238E27FC236}">
              <a16:creationId xmlns:a16="http://schemas.microsoft.com/office/drawing/2014/main" id="{91100EC4-E395-45C1-A485-6F627A4335A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23" name="Text 3">
          <a:extLst>
            <a:ext uri="{FF2B5EF4-FFF2-40B4-BE49-F238E27FC236}">
              <a16:creationId xmlns:a16="http://schemas.microsoft.com/office/drawing/2014/main" id="{D5612125-7B0A-4C21-BCAE-1869C24CA2A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24" name="Text 3">
          <a:extLst>
            <a:ext uri="{FF2B5EF4-FFF2-40B4-BE49-F238E27FC236}">
              <a16:creationId xmlns:a16="http://schemas.microsoft.com/office/drawing/2014/main" id="{8BB07750-7055-49B0-8A87-67A2A3547E2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25" name="Text 3">
          <a:extLst>
            <a:ext uri="{FF2B5EF4-FFF2-40B4-BE49-F238E27FC236}">
              <a16:creationId xmlns:a16="http://schemas.microsoft.com/office/drawing/2014/main" id="{5963C18D-1844-452C-8096-4593653296E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26" name="Text 3">
          <a:extLst>
            <a:ext uri="{FF2B5EF4-FFF2-40B4-BE49-F238E27FC236}">
              <a16:creationId xmlns:a16="http://schemas.microsoft.com/office/drawing/2014/main" id="{78260E77-858B-44F7-9611-A0AC6613BAA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27" name="Text 3">
          <a:extLst>
            <a:ext uri="{FF2B5EF4-FFF2-40B4-BE49-F238E27FC236}">
              <a16:creationId xmlns:a16="http://schemas.microsoft.com/office/drawing/2014/main" id="{F97DBA6C-B1D9-4ACA-B980-7A95D372BB2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28" name="Text 3">
          <a:extLst>
            <a:ext uri="{FF2B5EF4-FFF2-40B4-BE49-F238E27FC236}">
              <a16:creationId xmlns:a16="http://schemas.microsoft.com/office/drawing/2014/main" id="{6F23EAEC-0CF9-483D-9D2A-68F4334F008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29" name="Text 3">
          <a:extLst>
            <a:ext uri="{FF2B5EF4-FFF2-40B4-BE49-F238E27FC236}">
              <a16:creationId xmlns:a16="http://schemas.microsoft.com/office/drawing/2014/main" id="{60D1E270-3B4F-42D8-9E6F-2A0D9A8D3C6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30" name="Text 3">
          <a:extLst>
            <a:ext uri="{FF2B5EF4-FFF2-40B4-BE49-F238E27FC236}">
              <a16:creationId xmlns:a16="http://schemas.microsoft.com/office/drawing/2014/main" id="{91DA4412-7EB2-403C-8E0D-5DB3B086018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31" name="Text 3">
          <a:extLst>
            <a:ext uri="{FF2B5EF4-FFF2-40B4-BE49-F238E27FC236}">
              <a16:creationId xmlns:a16="http://schemas.microsoft.com/office/drawing/2014/main" id="{000EBEC1-7705-43B0-83B0-54BCAA9F09F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32" name="Text 3">
          <a:extLst>
            <a:ext uri="{FF2B5EF4-FFF2-40B4-BE49-F238E27FC236}">
              <a16:creationId xmlns:a16="http://schemas.microsoft.com/office/drawing/2014/main" id="{787840D6-E5B4-49EC-A1A5-8FF08CB0AA7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33" name="Text 3">
          <a:extLst>
            <a:ext uri="{FF2B5EF4-FFF2-40B4-BE49-F238E27FC236}">
              <a16:creationId xmlns:a16="http://schemas.microsoft.com/office/drawing/2014/main" id="{F5200C72-3BF1-4C3D-B40E-ED24715CE9E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34" name="Text 3">
          <a:extLst>
            <a:ext uri="{FF2B5EF4-FFF2-40B4-BE49-F238E27FC236}">
              <a16:creationId xmlns:a16="http://schemas.microsoft.com/office/drawing/2014/main" id="{0986F8C6-68F6-45A6-BE24-53B2EBFA52B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35" name="Text 3">
          <a:extLst>
            <a:ext uri="{FF2B5EF4-FFF2-40B4-BE49-F238E27FC236}">
              <a16:creationId xmlns:a16="http://schemas.microsoft.com/office/drawing/2014/main" id="{CA14E87C-077E-4BD4-A94C-C3C0A0A0777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36" name="Text 3">
          <a:extLst>
            <a:ext uri="{FF2B5EF4-FFF2-40B4-BE49-F238E27FC236}">
              <a16:creationId xmlns:a16="http://schemas.microsoft.com/office/drawing/2014/main" id="{86BA23AD-DB68-4911-B6CC-D5E5231E8D6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37" name="Text 3">
          <a:extLst>
            <a:ext uri="{FF2B5EF4-FFF2-40B4-BE49-F238E27FC236}">
              <a16:creationId xmlns:a16="http://schemas.microsoft.com/office/drawing/2014/main" id="{062E6414-F206-498F-9A3A-60EDA20CDC6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38" name="Text 3">
          <a:extLst>
            <a:ext uri="{FF2B5EF4-FFF2-40B4-BE49-F238E27FC236}">
              <a16:creationId xmlns:a16="http://schemas.microsoft.com/office/drawing/2014/main" id="{F889E441-FE31-4464-92B5-BDACBD67C46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39" name="Text 3">
          <a:extLst>
            <a:ext uri="{FF2B5EF4-FFF2-40B4-BE49-F238E27FC236}">
              <a16:creationId xmlns:a16="http://schemas.microsoft.com/office/drawing/2014/main" id="{5A82A7FB-53D6-4A99-9D8E-9791E1BFEE1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40" name="Text 3">
          <a:extLst>
            <a:ext uri="{FF2B5EF4-FFF2-40B4-BE49-F238E27FC236}">
              <a16:creationId xmlns:a16="http://schemas.microsoft.com/office/drawing/2014/main" id="{6306AFEB-B877-4C9E-A524-70D3B5384A5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41" name="Text 3">
          <a:extLst>
            <a:ext uri="{FF2B5EF4-FFF2-40B4-BE49-F238E27FC236}">
              <a16:creationId xmlns:a16="http://schemas.microsoft.com/office/drawing/2014/main" id="{4DA233C4-6EE1-4A00-97C5-147ED6944A1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42" name="Text 3">
          <a:extLst>
            <a:ext uri="{FF2B5EF4-FFF2-40B4-BE49-F238E27FC236}">
              <a16:creationId xmlns:a16="http://schemas.microsoft.com/office/drawing/2014/main" id="{535B59D3-66BF-4BAB-BDC9-7D0D55F0F2D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43" name="Text 3">
          <a:extLst>
            <a:ext uri="{FF2B5EF4-FFF2-40B4-BE49-F238E27FC236}">
              <a16:creationId xmlns:a16="http://schemas.microsoft.com/office/drawing/2014/main" id="{006BD29B-86CA-412E-BAFB-AE868CB557D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44" name="Text 3">
          <a:extLst>
            <a:ext uri="{FF2B5EF4-FFF2-40B4-BE49-F238E27FC236}">
              <a16:creationId xmlns:a16="http://schemas.microsoft.com/office/drawing/2014/main" id="{C9E3B93D-BAA1-4142-99C8-67FAFFFFB0E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45" name="Text 3">
          <a:extLst>
            <a:ext uri="{FF2B5EF4-FFF2-40B4-BE49-F238E27FC236}">
              <a16:creationId xmlns:a16="http://schemas.microsoft.com/office/drawing/2014/main" id="{BE5F0215-655C-4B1F-A6D2-96C97C90A87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46" name="Text 3">
          <a:extLst>
            <a:ext uri="{FF2B5EF4-FFF2-40B4-BE49-F238E27FC236}">
              <a16:creationId xmlns:a16="http://schemas.microsoft.com/office/drawing/2014/main" id="{490ADFAB-8FE0-4300-BE86-2AA453CE5DF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47" name="Text 3">
          <a:extLst>
            <a:ext uri="{FF2B5EF4-FFF2-40B4-BE49-F238E27FC236}">
              <a16:creationId xmlns:a16="http://schemas.microsoft.com/office/drawing/2014/main" id="{7892BAF4-C061-415A-9A47-193280F9EF3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48" name="Text 3">
          <a:extLst>
            <a:ext uri="{FF2B5EF4-FFF2-40B4-BE49-F238E27FC236}">
              <a16:creationId xmlns:a16="http://schemas.microsoft.com/office/drawing/2014/main" id="{657C1DF3-7E53-41E5-92F5-207495FFAE1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49" name="Text 3">
          <a:extLst>
            <a:ext uri="{FF2B5EF4-FFF2-40B4-BE49-F238E27FC236}">
              <a16:creationId xmlns:a16="http://schemas.microsoft.com/office/drawing/2014/main" id="{BFE3E0B8-3AD7-406E-A332-D87C4B4DA16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50" name="Text 3">
          <a:extLst>
            <a:ext uri="{FF2B5EF4-FFF2-40B4-BE49-F238E27FC236}">
              <a16:creationId xmlns:a16="http://schemas.microsoft.com/office/drawing/2014/main" id="{38906D93-2EE2-4B43-A66A-DBF4FD8E75F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51" name="Text 3">
          <a:extLst>
            <a:ext uri="{FF2B5EF4-FFF2-40B4-BE49-F238E27FC236}">
              <a16:creationId xmlns:a16="http://schemas.microsoft.com/office/drawing/2014/main" id="{324A13CB-62EA-4BB0-BCA9-F239CEE23CA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52" name="Text 3">
          <a:extLst>
            <a:ext uri="{FF2B5EF4-FFF2-40B4-BE49-F238E27FC236}">
              <a16:creationId xmlns:a16="http://schemas.microsoft.com/office/drawing/2014/main" id="{C3A8A0B6-CC0F-43E4-ACDB-FD3410C55D5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53" name="Text 3">
          <a:extLst>
            <a:ext uri="{FF2B5EF4-FFF2-40B4-BE49-F238E27FC236}">
              <a16:creationId xmlns:a16="http://schemas.microsoft.com/office/drawing/2014/main" id="{2B370E08-CE30-4F89-BEA6-852C6987A1B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54" name="Text 3">
          <a:extLst>
            <a:ext uri="{FF2B5EF4-FFF2-40B4-BE49-F238E27FC236}">
              <a16:creationId xmlns:a16="http://schemas.microsoft.com/office/drawing/2014/main" id="{C17BCC47-DE84-486F-8734-BA6357AFD00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55" name="Text 3">
          <a:extLst>
            <a:ext uri="{FF2B5EF4-FFF2-40B4-BE49-F238E27FC236}">
              <a16:creationId xmlns:a16="http://schemas.microsoft.com/office/drawing/2014/main" id="{466F5CF8-ADA2-4FFC-855D-2853A224721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56" name="Text 3">
          <a:extLst>
            <a:ext uri="{FF2B5EF4-FFF2-40B4-BE49-F238E27FC236}">
              <a16:creationId xmlns:a16="http://schemas.microsoft.com/office/drawing/2014/main" id="{CDECC3BD-863B-4644-9222-32AA06AD40F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57" name="Text 3">
          <a:extLst>
            <a:ext uri="{FF2B5EF4-FFF2-40B4-BE49-F238E27FC236}">
              <a16:creationId xmlns:a16="http://schemas.microsoft.com/office/drawing/2014/main" id="{E2A2ACAB-9E91-485B-90CC-0AF75D93F4A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58" name="Text 3">
          <a:extLst>
            <a:ext uri="{FF2B5EF4-FFF2-40B4-BE49-F238E27FC236}">
              <a16:creationId xmlns:a16="http://schemas.microsoft.com/office/drawing/2014/main" id="{A869CA95-2627-485F-A9F2-6AC25033976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59" name="Text 3">
          <a:extLst>
            <a:ext uri="{FF2B5EF4-FFF2-40B4-BE49-F238E27FC236}">
              <a16:creationId xmlns:a16="http://schemas.microsoft.com/office/drawing/2014/main" id="{03B578AA-DA27-4581-BF44-D7F616AF7EF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60" name="Text 3">
          <a:extLst>
            <a:ext uri="{FF2B5EF4-FFF2-40B4-BE49-F238E27FC236}">
              <a16:creationId xmlns:a16="http://schemas.microsoft.com/office/drawing/2014/main" id="{79C90354-FE25-4C8B-AE05-9DD32CE0959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61" name="Text 3">
          <a:extLst>
            <a:ext uri="{FF2B5EF4-FFF2-40B4-BE49-F238E27FC236}">
              <a16:creationId xmlns:a16="http://schemas.microsoft.com/office/drawing/2014/main" id="{D784D561-6CF8-4223-BE8B-9AD5DA94789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62" name="Text 3">
          <a:extLst>
            <a:ext uri="{FF2B5EF4-FFF2-40B4-BE49-F238E27FC236}">
              <a16:creationId xmlns:a16="http://schemas.microsoft.com/office/drawing/2014/main" id="{D2D4ADC2-AA52-4C37-9C89-7E5E3CDD4A1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63" name="Text 3">
          <a:extLst>
            <a:ext uri="{FF2B5EF4-FFF2-40B4-BE49-F238E27FC236}">
              <a16:creationId xmlns:a16="http://schemas.microsoft.com/office/drawing/2014/main" id="{254BE846-B9F0-411B-BA65-F3010C3BFA0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64" name="Text 3">
          <a:extLst>
            <a:ext uri="{FF2B5EF4-FFF2-40B4-BE49-F238E27FC236}">
              <a16:creationId xmlns:a16="http://schemas.microsoft.com/office/drawing/2014/main" id="{099C88EC-34EE-4EF2-A339-8DD47E6C53B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65" name="Text 3">
          <a:extLst>
            <a:ext uri="{FF2B5EF4-FFF2-40B4-BE49-F238E27FC236}">
              <a16:creationId xmlns:a16="http://schemas.microsoft.com/office/drawing/2014/main" id="{4C206BF6-582B-46E8-91D2-2A69CD96029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66" name="Text 3">
          <a:extLst>
            <a:ext uri="{FF2B5EF4-FFF2-40B4-BE49-F238E27FC236}">
              <a16:creationId xmlns:a16="http://schemas.microsoft.com/office/drawing/2014/main" id="{82F01B12-ABEF-4550-9B03-760BDC1806B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67" name="Text 3">
          <a:extLst>
            <a:ext uri="{FF2B5EF4-FFF2-40B4-BE49-F238E27FC236}">
              <a16:creationId xmlns:a16="http://schemas.microsoft.com/office/drawing/2014/main" id="{A5EB1680-9594-4B0D-965C-F7F1EE38060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68" name="Text 3">
          <a:extLst>
            <a:ext uri="{FF2B5EF4-FFF2-40B4-BE49-F238E27FC236}">
              <a16:creationId xmlns:a16="http://schemas.microsoft.com/office/drawing/2014/main" id="{9CC6DD77-1B07-4E1E-8F51-349E9F033A7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69" name="Text 3">
          <a:extLst>
            <a:ext uri="{FF2B5EF4-FFF2-40B4-BE49-F238E27FC236}">
              <a16:creationId xmlns:a16="http://schemas.microsoft.com/office/drawing/2014/main" id="{3EEB3E6B-2AD3-4FF0-B38D-5BBEA4B113F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70" name="Text 3">
          <a:extLst>
            <a:ext uri="{FF2B5EF4-FFF2-40B4-BE49-F238E27FC236}">
              <a16:creationId xmlns:a16="http://schemas.microsoft.com/office/drawing/2014/main" id="{EF8E382D-A346-422F-A78E-9090183728B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71" name="Text 3">
          <a:extLst>
            <a:ext uri="{FF2B5EF4-FFF2-40B4-BE49-F238E27FC236}">
              <a16:creationId xmlns:a16="http://schemas.microsoft.com/office/drawing/2014/main" id="{F9AFB21A-4D68-4D96-9757-21EA3DFC2DE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72" name="Text 3">
          <a:extLst>
            <a:ext uri="{FF2B5EF4-FFF2-40B4-BE49-F238E27FC236}">
              <a16:creationId xmlns:a16="http://schemas.microsoft.com/office/drawing/2014/main" id="{984CF3AE-3ECE-4088-AF21-1089B74D19D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73" name="Text 3">
          <a:extLst>
            <a:ext uri="{FF2B5EF4-FFF2-40B4-BE49-F238E27FC236}">
              <a16:creationId xmlns:a16="http://schemas.microsoft.com/office/drawing/2014/main" id="{CE6F3B25-DDCF-4500-BE16-DD41B7730B3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74" name="Text 3">
          <a:extLst>
            <a:ext uri="{FF2B5EF4-FFF2-40B4-BE49-F238E27FC236}">
              <a16:creationId xmlns:a16="http://schemas.microsoft.com/office/drawing/2014/main" id="{C21D9A35-6794-4D96-87EE-E55484B6996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75" name="Text 3">
          <a:extLst>
            <a:ext uri="{FF2B5EF4-FFF2-40B4-BE49-F238E27FC236}">
              <a16:creationId xmlns:a16="http://schemas.microsoft.com/office/drawing/2014/main" id="{1126E9B9-7E95-4C77-8E07-0545305B2BA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76" name="Text 3">
          <a:extLst>
            <a:ext uri="{FF2B5EF4-FFF2-40B4-BE49-F238E27FC236}">
              <a16:creationId xmlns:a16="http://schemas.microsoft.com/office/drawing/2014/main" id="{34660EE8-F8EA-41DD-A7C1-3001BF316DD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77" name="Text 3">
          <a:extLst>
            <a:ext uri="{FF2B5EF4-FFF2-40B4-BE49-F238E27FC236}">
              <a16:creationId xmlns:a16="http://schemas.microsoft.com/office/drawing/2014/main" id="{8B43E7BD-C443-4573-A609-EAED8F3DFD0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78" name="Text 3">
          <a:extLst>
            <a:ext uri="{FF2B5EF4-FFF2-40B4-BE49-F238E27FC236}">
              <a16:creationId xmlns:a16="http://schemas.microsoft.com/office/drawing/2014/main" id="{111E11D6-25AA-4CCE-8479-E47D0B125A2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79" name="Text 3">
          <a:extLst>
            <a:ext uri="{FF2B5EF4-FFF2-40B4-BE49-F238E27FC236}">
              <a16:creationId xmlns:a16="http://schemas.microsoft.com/office/drawing/2014/main" id="{8813DB11-2DB3-417F-A1E0-127ADA1BEEB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80" name="Text 3">
          <a:extLst>
            <a:ext uri="{FF2B5EF4-FFF2-40B4-BE49-F238E27FC236}">
              <a16:creationId xmlns:a16="http://schemas.microsoft.com/office/drawing/2014/main" id="{530F6CBD-D214-4047-ABF0-7A10767DC86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81" name="Text 3">
          <a:extLst>
            <a:ext uri="{FF2B5EF4-FFF2-40B4-BE49-F238E27FC236}">
              <a16:creationId xmlns:a16="http://schemas.microsoft.com/office/drawing/2014/main" id="{050EDC8C-0CC1-43A5-8916-33A89D80D02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82" name="Text 3">
          <a:extLst>
            <a:ext uri="{FF2B5EF4-FFF2-40B4-BE49-F238E27FC236}">
              <a16:creationId xmlns:a16="http://schemas.microsoft.com/office/drawing/2014/main" id="{61A6987F-A558-43DD-982B-81C2FC2B120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83" name="Text 3">
          <a:extLst>
            <a:ext uri="{FF2B5EF4-FFF2-40B4-BE49-F238E27FC236}">
              <a16:creationId xmlns:a16="http://schemas.microsoft.com/office/drawing/2014/main" id="{63EC0B7C-EA22-4DD5-B5D6-5DA882395C6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84" name="Text 3">
          <a:extLst>
            <a:ext uri="{FF2B5EF4-FFF2-40B4-BE49-F238E27FC236}">
              <a16:creationId xmlns:a16="http://schemas.microsoft.com/office/drawing/2014/main" id="{8344A136-6030-4894-BCB3-9D7227B3645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85" name="Text 3">
          <a:extLst>
            <a:ext uri="{FF2B5EF4-FFF2-40B4-BE49-F238E27FC236}">
              <a16:creationId xmlns:a16="http://schemas.microsoft.com/office/drawing/2014/main" id="{BF074BB1-33E1-495A-AA58-DB8354B1AB4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86" name="Text 3">
          <a:extLst>
            <a:ext uri="{FF2B5EF4-FFF2-40B4-BE49-F238E27FC236}">
              <a16:creationId xmlns:a16="http://schemas.microsoft.com/office/drawing/2014/main" id="{E1BC4E95-9794-47D7-A9A4-8834A0A4D26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87" name="Text 3">
          <a:extLst>
            <a:ext uri="{FF2B5EF4-FFF2-40B4-BE49-F238E27FC236}">
              <a16:creationId xmlns:a16="http://schemas.microsoft.com/office/drawing/2014/main" id="{D8A11524-0350-485D-B99E-EE80E8A2129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88" name="Text 3">
          <a:extLst>
            <a:ext uri="{FF2B5EF4-FFF2-40B4-BE49-F238E27FC236}">
              <a16:creationId xmlns:a16="http://schemas.microsoft.com/office/drawing/2014/main" id="{E851E683-9452-4039-9041-C5F87A4D56B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89" name="Text 3">
          <a:extLst>
            <a:ext uri="{FF2B5EF4-FFF2-40B4-BE49-F238E27FC236}">
              <a16:creationId xmlns:a16="http://schemas.microsoft.com/office/drawing/2014/main" id="{760E9795-A927-42DF-8E99-E3AC33C9655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90" name="Text 3">
          <a:extLst>
            <a:ext uri="{FF2B5EF4-FFF2-40B4-BE49-F238E27FC236}">
              <a16:creationId xmlns:a16="http://schemas.microsoft.com/office/drawing/2014/main" id="{426AF50B-0955-4A55-8984-C8CEAD374B6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91" name="Text 3">
          <a:extLst>
            <a:ext uri="{FF2B5EF4-FFF2-40B4-BE49-F238E27FC236}">
              <a16:creationId xmlns:a16="http://schemas.microsoft.com/office/drawing/2014/main" id="{CA2D2E6C-C2B0-41A3-A6C8-BEB2FF6111B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92" name="Text 3">
          <a:extLst>
            <a:ext uri="{FF2B5EF4-FFF2-40B4-BE49-F238E27FC236}">
              <a16:creationId xmlns:a16="http://schemas.microsoft.com/office/drawing/2014/main" id="{F3379B1B-98DA-49CE-A0AD-D17E9CF3B85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93" name="Text 3">
          <a:extLst>
            <a:ext uri="{FF2B5EF4-FFF2-40B4-BE49-F238E27FC236}">
              <a16:creationId xmlns:a16="http://schemas.microsoft.com/office/drawing/2014/main" id="{78628C16-7669-41B7-83C2-BC967124889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94" name="Text 3">
          <a:extLst>
            <a:ext uri="{FF2B5EF4-FFF2-40B4-BE49-F238E27FC236}">
              <a16:creationId xmlns:a16="http://schemas.microsoft.com/office/drawing/2014/main" id="{447F6B2C-7F63-456F-B766-01022B185CE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95" name="Text 3">
          <a:extLst>
            <a:ext uri="{FF2B5EF4-FFF2-40B4-BE49-F238E27FC236}">
              <a16:creationId xmlns:a16="http://schemas.microsoft.com/office/drawing/2014/main" id="{F3EEB0BD-DD90-4B48-BF9B-7C835B0A973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96" name="Text 3">
          <a:extLst>
            <a:ext uri="{FF2B5EF4-FFF2-40B4-BE49-F238E27FC236}">
              <a16:creationId xmlns:a16="http://schemas.microsoft.com/office/drawing/2014/main" id="{1C9507EB-D1E7-4E69-BD2F-265BCAB0D3B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97" name="Text 3">
          <a:extLst>
            <a:ext uri="{FF2B5EF4-FFF2-40B4-BE49-F238E27FC236}">
              <a16:creationId xmlns:a16="http://schemas.microsoft.com/office/drawing/2014/main" id="{CB7A5708-EA66-4F0B-BC90-BBB1D8ABF1E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98" name="Text 3">
          <a:extLst>
            <a:ext uri="{FF2B5EF4-FFF2-40B4-BE49-F238E27FC236}">
              <a16:creationId xmlns:a16="http://schemas.microsoft.com/office/drawing/2014/main" id="{A286205D-ECB1-481D-A83E-118CA899455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99" name="Text 3">
          <a:extLst>
            <a:ext uri="{FF2B5EF4-FFF2-40B4-BE49-F238E27FC236}">
              <a16:creationId xmlns:a16="http://schemas.microsoft.com/office/drawing/2014/main" id="{16DAC37B-DC9B-4D4E-99ED-B295C22CB6A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00" name="Text 3">
          <a:extLst>
            <a:ext uri="{FF2B5EF4-FFF2-40B4-BE49-F238E27FC236}">
              <a16:creationId xmlns:a16="http://schemas.microsoft.com/office/drawing/2014/main" id="{B76149D4-7735-4701-BCCD-D105FBA0F1C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01" name="Text 3">
          <a:extLst>
            <a:ext uri="{FF2B5EF4-FFF2-40B4-BE49-F238E27FC236}">
              <a16:creationId xmlns:a16="http://schemas.microsoft.com/office/drawing/2014/main" id="{A8AE4BEF-C787-4416-B7AE-A1DB77423F2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02" name="Text 3">
          <a:extLst>
            <a:ext uri="{FF2B5EF4-FFF2-40B4-BE49-F238E27FC236}">
              <a16:creationId xmlns:a16="http://schemas.microsoft.com/office/drawing/2014/main" id="{2A185E9C-B50D-42F8-B8CE-B1A7204E778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03" name="Text 3">
          <a:extLst>
            <a:ext uri="{FF2B5EF4-FFF2-40B4-BE49-F238E27FC236}">
              <a16:creationId xmlns:a16="http://schemas.microsoft.com/office/drawing/2014/main" id="{649B98C6-8388-4C84-8568-F293BBE8C20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04" name="Text 3">
          <a:extLst>
            <a:ext uri="{FF2B5EF4-FFF2-40B4-BE49-F238E27FC236}">
              <a16:creationId xmlns:a16="http://schemas.microsoft.com/office/drawing/2014/main" id="{9EFA9645-87D6-4ADF-9951-B65F14CE75D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05" name="Text 3">
          <a:extLst>
            <a:ext uri="{FF2B5EF4-FFF2-40B4-BE49-F238E27FC236}">
              <a16:creationId xmlns:a16="http://schemas.microsoft.com/office/drawing/2014/main" id="{8D8F24CB-A2F8-4DAB-8980-0E1238A4CE2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06" name="Text 3">
          <a:extLst>
            <a:ext uri="{FF2B5EF4-FFF2-40B4-BE49-F238E27FC236}">
              <a16:creationId xmlns:a16="http://schemas.microsoft.com/office/drawing/2014/main" id="{BA8C697D-70CF-4FE4-B9FE-2B39957FBAA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07" name="Text 3">
          <a:extLst>
            <a:ext uri="{FF2B5EF4-FFF2-40B4-BE49-F238E27FC236}">
              <a16:creationId xmlns:a16="http://schemas.microsoft.com/office/drawing/2014/main" id="{17C985F3-A6EE-4F1F-BF8A-571A5B7EC9D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08" name="Text 3">
          <a:extLst>
            <a:ext uri="{FF2B5EF4-FFF2-40B4-BE49-F238E27FC236}">
              <a16:creationId xmlns:a16="http://schemas.microsoft.com/office/drawing/2014/main" id="{73BB6897-04AE-492E-A0B0-628E350FACB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09" name="Text 3">
          <a:extLst>
            <a:ext uri="{FF2B5EF4-FFF2-40B4-BE49-F238E27FC236}">
              <a16:creationId xmlns:a16="http://schemas.microsoft.com/office/drawing/2014/main" id="{F64645C4-90A7-42F8-8DD5-79F6FD5B0A0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10" name="Text 3">
          <a:extLst>
            <a:ext uri="{FF2B5EF4-FFF2-40B4-BE49-F238E27FC236}">
              <a16:creationId xmlns:a16="http://schemas.microsoft.com/office/drawing/2014/main" id="{D89FB267-41BD-4AEA-873C-B8FEA0215E6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11" name="Text 3">
          <a:extLst>
            <a:ext uri="{FF2B5EF4-FFF2-40B4-BE49-F238E27FC236}">
              <a16:creationId xmlns:a16="http://schemas.microsoft.com/office/drawing/2014/main" id="{6004222F-4C8F-489F-BB0A-9E47B812C8A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12" name="Text 3">
          <a:extLst>
            <a:ext uri="{FF2B5EF4-FFF2-40B4-BE49-F238E27FC236}">
              <a16:creationId xmlns:a16="http://schemas.microsoft.com/office/drawing/2014/main" id="{175B9CF6-D00C-4DEB-866C-8DEEC0B0366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13" name="Text 3">
          <a:extLst>
            <a:ext uri="{FF2B5EF4-FFF2-40B4-BE49-F238E27FC236}">
              <a16:creationId xmlns:a16="http://schemas.microsoft.com/office/drawing/2014/main" id="{F94A6497-5D76-4E3B-9AA5-262EF3DA370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14" name="Text 3">
          <a:extLst>
            <a:ext uri="{FF2B5EF4-FFF2-40B4-BE49-F238E27FC236}">
              <a16:creationId xmlns:a16="http://schemas.microsoft.com/office/drawing/2014/main" id="{680BAE71-5CA1-41D6-B04E-CECE2C3044B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15" name="Text 3">
          <a:extLst>
            <a:ext uri="{FF2B5EF4-FFF2-40B4-BE49-F238E27FC236}">
              <a16:creationId xmlns:a16="http://schemas.microsoft.com/office/drawing/2014/main" id="{B3F4799E-FA67-40EE-AF80-425B41880EB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16" name="Text 3">
          <a:extLst>
            <a:ext uri="{FF2B5EF4-FFF2-40B4-BE49-F238E27FC236}">
              <a16:creationId xmlns:a16="http://schemas.microsoft.com/office/drawing/2014/main" id="{B1DA7985-13AE-46A8-BBDD-5A1BFF5A4F4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17" name="Text 3">
          <a:extLst>
            <a:ext uri="{FF2B5EF4-FFF2-40B4-BE49-F238E27FC236}">
              <a16:creationId xmlns:a16="http://schemas.microsoft.com/office/drawing/2014/main" id="{C050E1F2-2FD4-4A27-9E24-D7214E26785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18" name="Text 3">
          <a:extLst>
            <a:ext uri="{FF2B5EF4-FFF2-40B4-BE49-F238E27FC236}">
              <a16:creationId xmlns:a16="http://schemas.microsoft.com/office/drawing/2014/main" id="{8C236074-4946-4288-B4AE-BEDB6F64582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19" name="Text 3">
          <a:extLst>
            <a:ext uri="{FF2B5EF4-FFF2-40B4-BE49-F238E27FC236}">
              <a16:creationId xmlns:a16="http://schemas.microsoft.com/office/drawing/2014/main" id="{681ABF74-2C3E-4DA8-AEF2-8996D7C9880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20" name="Text 3">
          <a:extLst>
            <a:ext uri="{FF2B5EF4-FFF2-40B4-BE49-F238E27FC236}">
              <a16:creationId xmlns:a16="http://schemas.microsoft.com/office/drawing/2014/main" id="{0BD3F16B-AE1F-4956-8724-4EEC27B0D8A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21" name="Text 3">
          <a:extLst>
            <a:ext uri="{FF2B5EF4-FFF2-40B4-BE49-F238E27FC236}">
              <a16:creationId xmlns:a16="http://schemas.microsoft.com/office/drawing/2014/main" id="{C3B61AAB-F181-476F-B479-ABA4441CD18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22" name="Text 3">
          <a:extLst>
            <a:ext uri="{FF2B5EF4-FFF2-40B4-BE49-F238E27FC236}">
              <a16:creationId xmlns:a16="http://schemas.microsoft.com/office/drawing/2014/main" id="{9B6EC658-1426-4FAB-9090-AAD2619FD4B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23" name="Text 3">
          <a:extLst>
            <a:ext uri="{FF2B5EF4-FFF2-40B4-BE49-F238E27FC236}">
              <a16:creationId xmlns:a16="http://schemas.microsoft.com/office/drawing/2014/main" id="{C9FFF945-28C8-410D-975F-06C1DB0EF64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24" name="Text 3">
          <a:extLst>
            <a:ext uri="{FF2B5EF4-FFF2-40B4-BE49-F238E27FC236}">
              <a16:creationId xmlns:a16="http://schemas.microsoft.com/office/drawing/2014/main" id="{A6D68C99-E70D-4BD3-B251-0290D8C9164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25" name="Text 3">
          <a:extLst>
            <a:ext uri="{FF2B5EF4-FFF2-40B4-BE49-F238E27FC236}">
              <a16:creationId xmlns:a16="http://schemas.microsoft.com/office/drawing/2014/main" id="{3236B421-747C-4AB1-8F44-F0F1C7E068B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26" name="Text 3">
          <a:extLst>
            <a:ext uri="{FF2B5EF4-FFF2-40B4-BE49-F238E27FC236}">
              <a16:creationId xmlns:a16="http://schemas.microsoft.com/office/drawing/2014/main" id="{D65E856B-3958-4D25-84BF-0995346F7F9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27" name="Text 3">
          <a:extLst>
            <a:ext uri="{FF2B5EF4-FFF2-40B4-BE49-F238E27FC236}">
              <a16:creationId xmlns:a16="http://schemas.microsoft.com/office/drawing/2014/main" id="{45524F55-5E2B-4AF3-94E9-18CEB546B19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28" name="Text 3">
          <a:extLst>
            <a:ext uri="{FF2B5EF4-FFF2-40B4-BE49-F238E27FC236}">
              <a16:creationId xmlns:a16="http://schemas.microsoft.com/office/drawing/2014/main" id="{E6A7FAFC-D679-4905-97EB-08C2DB84E8C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29" name="Text 3">
          <a:extLst>
            <a:ext uri="{FF2B5EF4-FFF2-40B4-BE49-F238E27FC236}">
              <a16:creationId xmlns:a16="http://schemas.microsoft.com/office/drawing/2014/main" id="{A4E072EC-227F-4923-B614-109CC1FC2A6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30" name="Text 3">
          <a:extLst>
            <a:ext uri="{FF2B5EF4-FFF2-40B4-BE49-F238E27FC236}">
              <a16:creationId xmlns:a16="http://schemas.microsoft.com/office/drawing/2014/main" id="{A474AF1B-9E47-48CF-B78B-2E073D8A343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31" name="Text 3">
          <a:extLst>
            <a:ext uri="{FF2B5EF4-FFF2-40B4-BE49-F238E27FC236}">
              <a16:creationId xmlns:a16="http://schemas.microsoft.com/office/drawing/2014/main" id="{EC68D37C-AB0A-4550-B815-3980C18AAB3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32" name="Text 3">
          <a:extLst>
            <a:ext uri="{FF2B5EF4-FFF2-40B4-BE49-F238E27FC236}">
              <a16:creationId xmlns:a16="http://schemas.microsoft.com/office/drawing/2014/main" id="{0EAD8251-DD67-440D-B23E-BAC6C99D9D4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33" name="Text 3">
          <a:extLst>
            <a:ext uri="{FF2B5EF4-FFF2-40B4-BE49-F238E27FC236}">
              <a16:creationId xmlns:a16="http://schemas.microsoft.com/office/drawing/2014/main" id="{E4F2B904-0FA1-4CCE-AEE3-2FB0D7692FD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34" name="Text 3">
          <a:extLst>
            <a:ext uri="{FF2B5EF4-FFF2-40B4-BE49-F238E27FC236}">
              <a16:creationId xmlns:a16="http://schemas.microsoft.com/office/drawing/2014/main" id="{C24B10C4-5F23-456C-AEAD-B81E40F7696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35" name="Text 3">
          <a:extLst>
            <a:ext uri="{FF2B5EF4-FFF2-40B4-BE49-F238E27FC236}">
              <a16:creationId xmlns:a16="http://schemas.microsoft.com/office/drawing/2014/main" id="{83C7D431-125C-4791-B808-22231D57DD0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36" name="Text 3">
          <a:extLst>
            <a:ext uri="{FF2B5EF4-FFF2-40B4-BE49-F238E27FC236}">
              <a16:creationId xmlns:a16="http://schemas.microsoft.com/office/drawing/2014/main" id="{E1D856E4-BCD2-4B2A-9CB9-C90F6F82E75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37" name="Text 3">
          <a:extLst>
            <a:ext uri="{FF2B5EF4-FFF2-40B4-BE49-F238E27FC236}">
              <a16:creationId xmlns:a16="http://schemas.microsoft.com/office/drawing/2014/main" id="{6F3DDDE2-2D62-4087-AC8F-F2C6B56E28F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38" name="Text 3">
          <a:extLst>
            <a:ext uri="{FF2B5EF4-FFF2-40B4-BE49-F238E27FC236}">
              <a16:creationId xmlns:a16="http://schemas.microsoft.com/office/drawing/2014/main" id="{B2AAE3D5-FAB3-40F3-846D-E392ECA7401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39" name="Text 3">
          <a:extLst>
            <a:ext uri="{FF2B5EF4-FFF2-40B4-BE49-F238E27FC236}">
              <a16:creationId xmlns:a16="http://schemas.microsoft.com/office/drawing/2014/main" id="{B56B2CA9-82D1-451A-AFFE-144EC06F1D5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40" name="Text 3">
          <a:extLst>
            <a:ext uri="{FF2B5EF4-FFF2-40B4-BE49-F238E27FC236}">
              <a16:creationId xmlns:a16="http://schemas.microsoft.com/office/drawing/2014/main" id="{0667CCF4-B82D-452C-B9BB-2EBAA0FC259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41" name="Text 3">
          <a:extLst>
            <a:ext uri="{FF2B5EF4-FFF2-40B4-BE49-F238E27FC236}">
              <a16:creationId xmlns:a16="http://schemas.microsoft.com/office/drawing/2014/main" id="{84D7C7C4-144A-4C11-8A4B-1025DDAB6D2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42" name="Text 3">
          <a:extLst>
            <a:ext uri="{FF2B5EF4-FFF2-40B4-BE49-F238E27FC236}">
              <a16:creationId xmlns:a16="http://schemas.microsoft.com/office/drawing/2014/main" id="{8A6C19A4-344E-4248-A285-B3846E69132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43" name="Text 3">
          <a:extLst>
            <a:ext uri="{FF2B5EF4-FFF2-40B4-BE49-F238E27FC236}">
              <a16:creationId xmlns:a16="http://schemas.microsoft.com/office/drawing/2014/main" id="{546C499C-5E15-496E-BA94-8F134E6DB2B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44" name="Text 3">
          <a:extLst>
            <a:ext uri="{FF2B5EF4-FFF2-40B4-BE49-F238E27FC236}">
              <a16:creationId xmlns:a16="http://schemas.microsoft.com/office/drawing/2014/main" id="{39831B0F-E135-4778-A00E-8563F2B5BFE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45" name="Text 3">
          <a:extLst>
            <a:ext uri="{FF2B5EF4-FFF2-40B4-BE49-F238E27FC236}">
              <a16:creationId xmlns:a16="http://schemas.microsoft.com/office/drawing/2014/main" id="{AFD32365-5395-45A6-ADF2-2BA8DB0526F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46" name="Text 3">
          <a:extLst>
            <a:ext uri="{FF2B5EF4-FFF2-40B4-BE49-F238E27FC236}">
              <a16:creationId xmlns:a16="http://schemas.microsoft.com/office/drawing/2014/main" id="{6458E71E-CE80-408C-92B9-F2A5FD6DF54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47" name="Text 3">
          <a:extLst>
            <a:ext uri="{FF2B5EF4-FFF2-40B4-BE49-F238E27FC236}">
              <a16:creationId xmlns:a16="http://schemas.microsoft.com/office/drawing/2014/main" id="{6CD2A82A-C9B1-4180-86A6-3FFEB01B0E4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48" name="Text 3">
          <a:extLst>
            <a:ext uri="{FF2B5EF4-FFF2-40B4-BE49-F238E27FC236}">
              <a16:creationId xmlns:a16="http://schemas.microsoft.com/office/drawing/2014/main" id="{29FE5818-419F-4735-87DB-78ECDCC20EB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49" name="Text 3">
          <a:extLst>
            <a:ext uri="{FF2B5EF4-FFF2-40B4-BE49-F238E27FC236}">
              <a16:creationId xmlns:a16="http://schemas.microsoft.com/office/drawing/2014/main" id="{2238F2FE-1D79-46AA-9E27-86C1579B339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50" name="Text 3">
          <a:extLst>
            <a:ext uri="{FF2B5EF4-FFF2-40B4-BE49-F238E27FC236}">
              <a16:creationId xmlns:a16="http://schemas.microsoft.com/office/drawing/2014/main" id="{4AE7FDD6-8310-4AB8-A94F-12ABA2B9F96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51" name="Text 3">
          <a:extLst>
            <a:ext uri="{FF2B5EF4-FFF2-40B4-BE49-F238E27FC236}">
              <a16:creationId xmlns:a16="http://schemas.microsoft.com/office/drawing/2014/main" id="{052E0418-E50C-4102-BEFA-CD869E6CAD1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52" name="Text 3">
          <a:extLst>
            <a:ext uri="{FF2B5EF4-FFF2-40B4-BE49-F238E27FC236}">
              <a16:creationId xmlns:a16="http://schemas.microsoft.com/office/drawing/2014/main" id="{C2D01C33-8589-4178-BD65-3EABC760662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53" name="Text 3">
          <a:extLst>
            <a:ext uri="{FF2B5EF4-FFF2-40B4-BE49-F238E27FC236}">
              <a16:creationId xmlns:a16="http://schemas.microsoft.com/office/drawing/2014/main" id="{50190742-04C6-45E0-8EAB-B4695822118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54" name="Text 3">
          <a:extLst>
            <a:ext uri="{FF2B5EF4-FFF2-40B4-BE49-F238E27FC236}">
              <a16:creationId xmlns:a16="http://schemas.microsoft.com/office/drawing/2014/main" id="{DC53E0C4-A87F-4463-B9C6-A3292ABB8A9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55" name="Text 3">
          <a:extLst>
            <a:ext uri="{FF2B5EF4-FFF2-40B4-BE49-F238E27FC236}">
              <a16:creationId xmlns:a16="http://schemas.microsoft.com/office/drawing/2014/main" id="{AFE87562-E19C-45B1-B9FB-A781DB30B25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56" name="Text 3">
          <a:extLst>
            <a:ext uri="{FF2B5EF4-FFF2-40B4-BE49-F238E27FC236}">
              <a16:creationId xmlns:a16="http://schemas.microsoft.com/office/drawing/2014/main" id="{22DDD46E-DF7E-4498-9E4C-189A09F43DB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57" name="Text 3">
          <a:extLst>
            <a:ext uri="{FF2B5EF4-FFF2-40B4-BE49-F238E27FC236}">
              <a16:creationId xmlns:a16="http://schemas.microsoft.com/office/drawing/2014/main" id="{A16748D2-2ACB-431C-8A66-9DC8EA166B1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58" name="Text 3">
          <a:extLst>
            <a:ext uri="{FF2B5EF4-FFF2-40B4-BE49-F238E27FC236}">
              <a16:creationId xmlns:a16="http://schemas.microsoft.com/office/drawing/2014/main" id="{E3281CE3-5857-4E09-8282-B2F620B54DF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59" name="Text 3">
          <a:extLst>
            <a:ext uri="{FF2B5EF4-FFF2-40B4-BE49-F238E27FC236}">
              <a16:creationId xmlns:a16="http://schemas.microsoft.com/office/drawing/2014/main" id="{39A463E9-838F-457E-92C0-18AF061ABB1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60" name="Text 3">
          <a:extLst>
            <a:ext uri="{FF2B5EF4-FFF2-40B4-BE49-F238E27FC236}">
              <a16:creationId xmlns:a16="http://schemas.microsoft.com/office/drawing/2014/main" id="{3BA0DAC7-1917-4C5F-B297-87CE85F50F2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61" name="Text 3">
          <a:extLst>
            <a:ext uri="{FF2B5EF4-FFF2-40B4-BE49-F238E27FC236}">
              <a16:creationId xmlns:a16="http://schemas.microsoft.com/office/drawing/2014/main" id="{4976D7FB-FBE8-4170-9695-6C3D145ADA9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62" name="Text 3">
          <a:extLst>
            <a:ext uri="{FF2B5EF4-FFF2-40B4-BE49-F238E27FC236}">
              <a16:creationId xmlns:a16="http://schemas.microsoft.com/office/drawing/2014/main" id="{FF8EFED7-F215-4DE4-B284-8BEB9773D9B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63" name="Text 3">
          <a:extLst>
            <a:ext uri="{FF2B5EF4-FFF2-40B4-BE49-F238E27FC236}">
              <a16:creationId xmlns:a16="http://schemas.microsoft.com/office/drawing/2014/main" id="{DCE12E85-CF91-4AB8-9A3B-4668520A8F9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64" name="Text 3">
          <a:extLst>
            <a:ext uri="{FF2B5EF4-FFF2-40B4-BE49-F238E27FC236}">
              <a16:creationId xmlns:a16="http://schemas.microsoft.com/office/drawing/2014/main" id="{CE543ECD-48AD-40A6-9F0C-A5027EE33DA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65" name="Text 3">
          <a:extLst>
            <a:ext uri="{FF2B5EF4-FFF2-40B4-BE49-F238E27FC236}">
              <a16:creationId xmlns:a16="http://schemas.microsoft.com/office/drawing/2014/main" id="{418D71F8-5574-4F3D-90FF-E5AB789AB6C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66" name="Text 3">
          <a:extLst>
            <a:ext uri="{FF2B5EF4-FFF2-40B4-BE49-F238E27FC236}">
              <a16:creationId xmlns:a16="http://schemas.microsoft.com/office/drawing/2014/main" id="{7C919F17-48BD-47ED-851D-0580622A31D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67" name="Text 3">
          <a:extLst>
            <a:ext uri="{FF2B5EF4-FFF2-40B4-BE49-F238E27FC236}">
              <a16:creationId xmlns:a16="http://schemas.microsoft.com/office/drawing/2014/main" id="{76EF3EB0-4636-4D37-B0B6-ABAD271B7FB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68" name="Text 3">
          <a:extLst>
            <a:ext uri="{FF2B5EF4-FFF2-40B4-BE49-F238E27FC236}">
              <a16:creationId xmlns:a16="http://schemas.microsoft.com/office/drawing/2014/main" id="{293EB2CE-A6A9-4241-9CB5-ACA068EB97E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69" name="Text 3">
          <a:extLst>
            <a:ext uri="{FF2B5EF4-FFF2-40B4-BE49-F238E27FC236}">
              <a16:creationId xmlns:a16="http://schemas.microsoft.com/office/drawing/2014/main" id="{DE699897-A140-41D5-9BD8-E0D2683587A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70" name="Text 3">
          <a:extLst>
            <a:ext uri="{FF2B5EF4-FFF2-40B4-BE49-F238E27FC236}">
              <a16:creationId xmlns:a16="http://schemas.microsoft.com/office/drawing/2014/main" id="{25241DDC-5C7E-4870-B113-94513955177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71" name="Text 3">
          <a:extLst>
            <a:ext uri="{FF2B5EF4-FFF2-40B4-BE49-F238E27FC236}">
              <a16:creationId xmlns:a16="http://schemas.microsoft.com/office/drawing/2014/main" id="{46DE7278-AE9B-422B-B917-2ED9590B6F1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72" name="Text 3">
          <a:extLst>
            <a:ext uri="{FF2B5EF4-FFF2-40B4-BE49-F238E27FC236}">
              <a16:creationId xmlns:a16="http://schemas.microsoft.com/office/drawing/2014/main" id="{062EBE30-BC6A-471E-A412-35918C64D05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73" name="Text 3">
          <a:extLst>
            <a:ext uri="{FF2B5EF4-FFF2-40B4-BE49-F238E27FC236}">
              <a16:creationId xmlns:a16="http://schemas.microsoft.com/office/drawing/2014/main" id="{FF236B14-1D1D-4458-B9E3-EAE72A60360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74" name="Text 3">
          <a:extLst>
            <a:ext uri="{FF2B5EF4-FFF2-40B4-BE49-F238E27FC236}">
              <a16:creationId xmlns:a16="http://schemas.microsoft.com/office/drawing/2014/main" id="{42A27A3A-356C-436D-AB79-E6E0BB9A2D5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75" name="Text 3">
          <a:extLst>
            <a:ext uri="{FF2B5EF4-FFF2-40B4-BE49-F238E27FC236}">
              <a16:creationId xmlns:a16="http://schemas.microsoft.com/office/drawing/2014/main" id="{D4ED3BAF-3833-42C5-8E2F-92CF2818070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76" name="Text 3">
          <a:extLst>
            <a:ext uri="{FF2B5EF4-FFF2-40B4-BE49-F238E27FC236}">
              <a16:creationId xmlns:a16="http://schemas.microsoft.com/office/drawing/2014/main" id="{DED05DA0-B49B-46B7-8271-A65898DA0D6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77" name="Text 3">
          <a:extLst>
            <a:ext uri="{FF2B5EF4-FFF2-40B4-BE49-F238E27FC236}">
              <a16:creationId xmlns:a16="http://schemas.microsoft.com/office/drawing/2014/main" id="{B9CB279C-C199-487E-BE77-F764869D4A0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78" name="Text 3">
          <a:extLst>
            <a:ext uri="{FF2B5EF4-FFF2-40B4-BE49-F238E27FC236}">
              <a16:creationId xmlns:a16="http://schemas.microsoft.com/office/drawing/2014/main" id="{E18F3C87-37FF-4916-9462-CB85AD79D7D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79" name="Text 3">
          <a:extLst>
            <a:ext uri="{FF2B5EF4-FFF2-40B4-BE49-F238E27FC236}">
              <a16:creationId xmlns:a16="http://schemas.microsoft.com/office/drawing/2014/main" id="{930A533E-63B3-4DFB-9D07-7E3A512CE04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80" name="Text 3">
          <a:extLst>
            <a:ext uri="{FF2B5EF4-FFF2-40B4-BE49-F238E27FC236}">
              <a16:creationId xmlns:a16="http://schemas.microsoft.com/office/drawing/2014/main" id="{E1C00EC7-B4DD-4708-A70A-D736CC9238C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81" name="Text 3">
          <a:extLst>
            <a:ext uri="{FF2B5EF4-FFF2-40B4-BE49-F238E27FC236}">
              <a16:creationId xmlns:a16="http://schemas.microsoft.com/office/drawing/2014/main" id="{8DC0B507-FB79-4A9F-A0B9-5869DC8BAFA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82" name="Text 3">
          <a:extLst>
            <a:ext uri="{FF2B5EF4-FFF2-40B4-BE49-F238E27FC236}">
              <a16:creationId xmlns:a16="http://schemas.microsoft.com/office/drawing/2014/main" id="{381DC800-C440-488A-9B06-5E1FAFAFE0F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83" name="Text 3">
          <a:extLst>
            <a:ext uri="{FF2B5EF4-FFF2-40B4-BE49-F238E27FC236}">
              <a16:creationId xmlns:a16="http://schemas.microsoft.com/office/drawing/2014/main" id="{14C440C1-22F8-4132-B116-C53B7FD6364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84" name="Text 3">
          <a:extLst>
            <a:ext uri="{FF2B5EF4-FFF2-40B4-BE49-F238E27FC236}">
              <a16:creationId xmlns:a16="http://schemas.microsoft.com/office/drawing/2014/main" id="{F5AC9A8D-795D-4C6E-B82B-5532395830F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85" name="Text 3">
          <a:extLst>
            <a:ext uri="{FF2B5EF4-FFF2-40B4-BE49-F238E27FC236}">
              <a16:creationId xmlns:a16="http://schemas.microsoft.com/office/drawing/2014/main" id="{8D54F7D6-DD34-4171-A313-9A69F081335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86" name="Text 3">
          <a:extLst>
            <a:ext uri="{FF2B5EF4-FFF2-40B4-BE49-F238E27FC236}">
              <a16:creationId xmlns:a16="http://schemas.microsoft.com/office/drawing/2014/main" id="{0C67B35A-0FD3-4D71-A1C4-41AB487FFD4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87" name="Text 3">
          <a:extLst>
            <a:ext uri="{FF2B5EF4-FFF2-40B4-BE49-F238E27FC236}">
              <a16:creationId xmlns:a16="http://schemas.microsoft.com/office/drawing/2014/main" id="{2A9EDE32-E0D7-444D-BACB-CB8366D1059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88" name="Text 3">
          <a:extLst>
            <a:ext uri="{FF2B5EF4-FFF2-40B4-BE49-F238E27FC236}">
              <a16:creationId xmlns:a16="http://schemas.microsoft.com/office/drawing/2014/main" id="{DA58537D-2F30-4331-A040-6638CDC4938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89" name="Text 3">
          <a:extLst>
            <a:ext uri="{FF2B5EF4-FFF2-40B4-BE49-F238E27FC236}">
              <a16:creationId xmlns:a16="http://schemas.microsoft.com/office/drawing/2014/main" id="{56C734A4-A487-4D95-8B42-7D41BBD3AB0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90" name="Text 3">
          <a:extLst>
            <a:ext uri="{FF2B5EF4-FFF2-40B4-BE49-F238E27FC236}">
              <a16:creationId xmlns:a16="http://schemas.microsoft.com/office/drawing/2014/main" id="{993B20E0-844E-49CA-9350-FC9A87E82C0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91" name="Text 3">
          <a:extLst>
            <a:ext uri="{FF2B5EF4-FFF2-40B4-BE49-F238E27FC236}">
              <a16:creationId xmlns:a16="http://schemas.microsoft.com/office/drawing/2014/main" id="{5D614858-FC6B-4547-8F30-B06272CEFE0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92" name="Text 3">
          <a:extLst>
            <a:ext uri="{FF2B5EF4-FFF2-40B4-BE49-F238E27FC236}">
              <a16:creationId xmlns:a16="http://schemas.microsoft.com/office/drawing/2014/main" id="{B404034D-778D-4E99-A24A-827FC70EF8D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93" name="Text 3">
          <a:extLst>
            <a:ext uri="{FF2B5EF4-FFF2-40B4-BE49-F238E27FC236}">
              <a16:creationId xmlns:a16="http://schemas.microsoft.com/office/drawing/2014/main" id="{2916776E-3EB6-4948-BCDC-03F8B78E5D1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94" name="Text 3">
          <a:extLst>
            <a:ext uri="{FF2B5EF4-FFF2-40B4-BE49-F238E27FC236}">
              <a16:creationId xmlns:a16="http://schemas.microsoft.com/office/drawing/2014/main" id="{06B1563C-665D-4E13-9C92-BA17F9D5987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95" name="Text 3">
          <a:extLst>
            <a:ext uri="{FF2B5EF4-FFF2-40B4-BE49-F238E27FC236}">
              <a16:creationId xmlns:a16="http://schemas.microsoft.com/office/drawing/2014/main" id="{4637E721-B909-4D47-856A-F352BDEDDC7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96" name="Text 3">
          <a:extLst>
            <a:ext uri="{FF2B5EF4-FFF2-40B4-BE49-F238E27FC236}">
              <a16:creationId xmlns:a16="http://schemas.microsoft.com/office/drawing/2014/main" id="{07211768-8A5B-425F-ADF9-E330D84ADC3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97" name="Text 3">
          <a:extLst>
            <a:ext uri="{FF2B5EF4-FFF2-40B4-BE49-F238E27FC236}">
              <a16:creationId xmlns:a16="http://schemas.microsoft.com/office/drawing/2014/main" id="{26704524-C444-44CB-946E-3EA2C16FFA2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98" name="Text 3">
          <a:extLst>
            <a:ext uri="{FF2B5EF4-FFF2-40B4-BE49-F238E27FC236}">
              <a16:creationId xmlns:a16="http://schemas.microsoft.com/office/drawing/2014/main" id="{11D1CD3D-3E79-4FB2-BE62-C0A9F006302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99" name="Text 3">
          <a:extLst>
            <a:ext uri="{FF2B5EF4-FFF2-40B4-BE49-F238E27FC236}">
              <a16:creationId xmlns:a16="http://schemas.microsoft.com/office/drawing/2014/main" id="{FF584A9C-47A5-4E02-937F-20B3D0A3F58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00" name="Text 3">
          <a:extLst>
            <a:ext uri="{FF2B5EF4-FFF2-40B4-BE49-F238E27FC236}">
              <a16:creationId xmlns:a16="http://schemas.microsoft.com/office/drawing/2014/main" id="{587D546F-A9CA-4A7D-ADCA-551C2373BCE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01" name="Text 3">
          <a:extLst>
            <a:ext uri="{FF2B5EF4-FFF2-40B4-BE49-F238E27FC236}">
              <a16:creationId xmlns:a16="http://schemas.microsoft.com/office/drawing/2014/main" id="{74858563-E62A-40DE-AE19-55CBC88F7D9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02" name="Text 3">
          <a:extLst>
            <a:ext uri="{FF2B5EF4-FFF2-40B4-BE49-F238E27FC236}">
              <a16:creationId xmlns:a16="http://schemas.microsoft.com/office/drawing/2014/main" id="{95A577FC-5FE6-465A-BC82-4DFC60C3028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03" name="Text 3">
          <a:extLst>
            <a:ext uri="{FF2B5EF4-FFF2-40B4-BE49-F238E27FC236}">
              <a16:creationId xmlns:a16="http://schemas.microsoft.com/office/drawing/2014/main" id="{1C77D164-5059-44B3-BB92-41BB856CB35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04" name="Text 3">
          <a:extLst>
            <a:ext uri="{FF2B5EF4-FFF2-40B4-BE49-F238E27FC236}">
              <a16:creationId xmlns:a16="http://schemas.microsoft.com/office/drawing/2014/main" id="{375467B7-4B8A-4654-BFBA-1962E315DF5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05" name="Text 3">
          <a:extLst>
            <a:ext uri="{FF2B5EF4-FFF2-40B4-BE49-F238E27FC236}">
              <a16:creationId xmlns:a16="http://schemas.microsoft.com/office/drawing/2014/main" id="{45BDF0EB-648E-4B43-9545-47A364C124B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06" name="Text 3">
          <a:extLst>
            <a:ext uri="{FF2B5EF4-FFF2-40B4-BE49-F238E27FC236}">
              <a16:creationId xmlns:a16="http://schemas.microsoft.com/office/drawing/2014/main" id="{F8A1A662-7761-428D-800D-F7C82F6E87F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07" name="Text 3">
          <a:extLst>
            <a:ext uri="{FF2B5EF4-FFF2-40B4-BE49-F238E27FC236}">
              <a16:creationId xmlns:a16="http://schemas.microsoft.com/office/drawing/2014/main" id="{2652C483-F553-4C21-BEAF-37E7D68942D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08" name="Text 3">
          <a:extLst>
            <a:ext uri="{FF2B5EF4-FFF2-40B4-BE49-F238E27FC236}">
              <a16:creationId xmlns:a16="http://schemas.microsoft.com/office/drawing/2014/main" id="{D92975A4-75F2-4DCF-A233-3AEFA41414B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09" name="Text 3">
          <a:extLst>
            <a:ext uri="{FF2B5EF4-FFF2-40B4-BE49-F238E27FC236}">
              <a16:creationId xmlns:a16="http://schemas.microsoft.com/office/drawing/2014/main" id="{C97712AD-3015-4487-BCAF-271B72973C1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10" name="Text 3">
          <a:extLst>
            <a:ext uri="{FF2B5EF4-FFF2-40B4-BE49-F238E27FC236}">
              <a16:creationId xmlns:a16="http://schemas.microsoft.com/office/drawing/2014/main" id="{DDF14E83-008B-42D8-9653-46DCC342C77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11" name="Text 3">
          <a:extLst>
            <a:ext uri="{FF2B5EF4-FFF2-40B4-BE49-F238E27FC236}">
              <a16:creationId xmlns:a16="http://schemas.microsoft.com/office/drawing/2014/main" id="{A5B5854A-8800-4A12-B1DD-D215C959130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12" name="Text 3">
          <a:extLst>
            <a:ext uri="{FF2B5EF4-FFF2-40B4-BE49-F238E27FC236}">
              <a16:creationId xmlns:a16="http://schemas.microsoft.com/office/drawing/2014/main" id="{7DC9AE97-171B-4915-A2F7-8FA76FB29C5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13" name="Text 3">
          <a:extLst>
            <a:ext uri="{FF2B5EF4-FFF2-40B4-BE49-F238E27FC236}">
              <a16:creationId xmlns:a16="http://schemas.microsoft.com/office/drawing/2014/main" id="{814DBB5A-382A-48E5-8548-0B72B2B51A2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14" name="Text 3">
          <a:extLst>
            <a:ext uri="{FF2B5EF4-FFF2-40B4-BE49-F238E27FC236}">
              <a16:creationId xmlns:a16="http://schemas.microsoft.com/office/drawing/2014/main" id="{E0F6CC46-7A6A-43A3-A24E-5997424887B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15" name="Text 3">
          <a:extLst>
            <a:ext uri="{FF2B5EF4-FFF2-40B4-BE49-F238E27FC236}">
              <a16:creationId xmlns:a16="http://schemas.microsoft.com/office/drawing/2014/main" id="{AF913AF1-ACCC-4FD0-B503-C6958A04064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16" name="Text 3">
          <a:extLst>
            <a:ext uri="{FF2B5EF4-FFF2-40B4-BE49-F238E27FC236}">
              <a16:creationId xmlns:a16="http://schemas.microsoft.com/office/drawing/2014/main" id="{C1D94814-4901-4031-A965-1B1CFCDEC40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17" name="Text 3">
          <a:extLst>
            <a:ext uri="{FF2B5EF4-FFF2-40B4-BE49-F238E27FC236}">
              <a16:creationId xmlns:a16="http://schemas.microsoft.com/office/drawing/2014/main" id="{E6BA55D7-BF6A-4BAF-9044-4536FAB6E99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18" name="Text 3">
          <a:extLst>
            <a:ext uri="{FF2B5EF4-FFF2-40B4-BE49-F238E27FC236}">
              <a16:creationId xmlns:a16="http://schemas.microsoft.com/office/drawing/2014/main" id="{9A21F7AA-5C6A-44EE-B00F-175CF728819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19" name="Text 3">
          <a:extLst>
            <a:ext uri="{FF2B5EF4-FFF2-40B4-BE49-F238E27FC236}">
              <a16:creationId xmlns:a16="http://schemas.microsoft.com/office/drawing/2014/main" id="{8A786C86-31F1-43F7-A101-825B148C937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20" name="Text 3">
          <a:extLst>
            <a:ext uri="{FF2B5EF4-FFF2-40B4-BE49-F238E27FC236}">
              <a16:creationId xmlns:a16="http://schemas.microsoft.com/office/drawing/2014/main" id="{9D071454-47BB-4C6A-8420-30DAC6DD0FD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21" name="Text 3">
          <a:extLst>
            <a:ext uri="{FF2B5EF4-FFF2-40B4-BE49-F238E27FC236}">
              <a16:creationId xmlns:a16="http://schemas.microsoft.com/office/drawing/2014/main" id="{04EB6B12-AC1F-406D-AEA0-2079AB28174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22" name="Text 3">
          <a:extLst>
            <a:ext uri="{FF2B5EF4-FFF2-40B4-BE49-F238E27FC236}">
              <a16:creationId xmlns:a16="http://schemas.microsoft.com/office/drawing/2014/main" id="{63EE0A84-B20C-4736-9BB7-23C4516C5A0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23" name="Text 3">
          <a:extLst>
            <a:ext uri="{FF2B5EF4-FFF2-40B4-BE49-F238E27FC236}">
              <a16:creationId xmlns:a16="http://schemas.microsoft.com/office/drawing/2014/main" id="{C56FB6D0-FC90-4BBC-921E-A002294FE5F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24" name="Text 3">
          <a:extLst>
            <a:ext uri="{FF2B5EF4-FFF2-40B4-BE49-F238E27FC236}">
              <a16:creationId xmlns:a16="http://schemas.microsoft.com/office/drawing/2014/main" id="{26361B54-A6B8-4DC4-886F-D8C7B439243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25" name="Text 3">
          <a:extLst>
            <a:ext uri="{FF2B5EF4-FFF2-40B4-BE49-F238E27FC236}">
              <a16:creationId xmlns:a16="http://schemas.microsoft.com/office/drawing/2014/main" id="{F7734DCB-DF88-464B-8AC0-6C234186C87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26" name="Text 3">
          <a:extLst>
            <a:ext uri="{FF2B5EF4-FFF2-40B4-BE49-F238E27FC236}">
              <a16:creationId xmlns:a16="http://schemas.microsoft.com/office/drawing/2014/main" id="{58B45C50-8FBE-4EEF-A76E-EDD778523A3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27" name="Text 3">
          <a:extLst>
            <a:ext uri="{FF2B5EF4-FFF2-40B4-BE49-F238E27FC236}">
              <a16:creationId xmlns:a16="http://schemas.microsoft.com/office/drawing/2014/main" id="{767D1FD6-7F1F-4A79-996F-175F8328DE7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28" name="Text 3">
          <a:extLst>
            <a:ext uri="{FF2B5EF4-FFF2-40B4-BE49-F238E27FC236}">
              <a16:creationId xmlns:a16="http://schemas.microsoft.com/office/drawing/2014/main" id="{BBFE6264-6936-46D0-825C-E2506E06049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29" name="Text 3">
          <a:extLst>
            <a:ext uri="{FF2B5EF4-FFF2-40B4-BE49-F238E27FC236}">
              <a16:creationId xmlns:a16="http://schemas.microsoft.com/office/drawing/2014/main" id="{FB970B0A-8CB8-4968-B02C-F25D08CB61B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30" name="Text 3">
          <a:extLst>
            <a:ext uri="{FF2B5EF4-FFF2-40B4-BE49-F238E27FC236}">
              <a16:creationId xmlns:a16="http://schemas.microsoft.com/office/drawing/2014/main" id="{3C62E611-5A9E-447D-8516-04CEDAC43A2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31" name="Text 3">
          <a:extLst>
            <a:ext uri="{FF2B5EF4-FFF2-40B4-BE49-F238E27FC236}">
              <a16:creationId xmlns:a16="http://schemas.microsoft.com/office/drawing/2014/main" id="{A95A11ED-F482-4445-B4FC-FB5741E41DD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32" name="Text 3">
          <a:extLst>
            <a:ext uri="{FF2B5EF4-FFF2-40B4-BE49-F238E27FC236}">
              <a16:creationId xmlns:a16="http://schemas.microsoft.com/office/drawing/2014/main" id="{1CED2C29-375D-424C-83B0-BF7AEBEDCC2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33" name="Text 3">
          <a:extLst>
            <a:ext uri="{FF2B5EF4-FFF2-40B4-BE49-F238E27FC236}">
              <a16:creationId xmlns:a16="http://schemas.microsoft.com/office/drawing/2014/main" id="{EB57A525-A770-4736-940F-3AF686447C0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34" name="Text 3">
          <a:extLst>
            <a:ext uri="{FF2B5EF4-FFF2-40B4-BE49-F238E27FC236}">
              <a16:creationId xmlns:a16="http://schemas.microsoft.com/office/drawing/2014/main" id="{9094006E-53FF-4C1F-9E0F-34C601B3ADC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35" name="Text 3">
          <a:extLst>
            <a:ext uri="{FF2B5EF4-FFF2-40B4-BE49-F238E27FC236}">
              <a16:creationId xmlns:a16="http://schemas.microsoft.com/office/drawing/2014/main" id="{8791C346-BE46-4322-9374-817F5394916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36" name="Text 3">
          <a:extLst>
            <a:ext uri="{FF2B5EF4-FFF2-40B4-BE49-F238E27FC236}">
              <a16:creationId xmlns:a16="http://schemas.microsoft.com/office/drawing/2014/main" id="{995495C3-36E4-4223-8952-3A850226354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37" name="Text 3">
          <a:extLst>
            <a:ext uri="{FF2B5EF4-FFF2-40B4-BE49-F238E27FC236}">
              <a16:creationId xmlns:a16="http://schemas.microsoft.com/office/drawing/2014/main" id="{96796BB5-A42B-483D-B21A-FFCCE1C8EB0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38" name="Text 3">
          <a:extLst>
            <a:ext uri="{FF2B5EF4-FFF2-40B4-BE49-F238E27FC236}">
              <a16:creationId xmlns:a16="http://schemas.microsoft.com/office/drawing/2014/main" id="{606C2F70-7EBD-45D6-BFE4-923ED89FFC6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39" name="Text 3">
          <a:extLst>
            <a:ext uri="{FF2B5EF4-FFF2-40B4-BE49-F238E27FC236}">
              <a16:creationId xmlns:a16="http://schemas.microsoft.com/office/drawing/2014/main" id="{6BECCD9B-174D-4B9A-960B-7DB7BC79C50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40" name="Text 3">
          <a:extLst>
            <a:ext uri="{FF2B5EF4-FFF2-40B4-BE49-F238E27FC236}">
              <a16:creationId xmlns:a16="http://schemas.microsoft.com/office/drawing/2014/main" id="{6B7DFA2C-9A2C-4728-869D-79A11990FAF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41" name="Text 3">
          <a:extLst>
            <a:ext uri="{FF2B5EF4-FFF2-40B4-BE49-F238E27FC236}">
              <a16:creationId xmlns:a16="http://schemas.microsoft.com/office/drawing/2014/main" id="{7A1A093E-9498-49D4-B4AD-EF755B48BF4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42" name="Text 3">
          <a:extLst>
            <a:ext uri="{FF2B5EF4-FFF2-40B4-BE49-F238E27FC236}">
              <a16:creationId xmlns:a16="http://schemas.microsoft.com/office/drawing/2014/main" id="{54931D3F-F512-4E1E-9279-1D44C7640F2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43" name="Text 3">
          <a:extLst>
            <a:ext uri="{FF2B5EF4-FFF2-40B4-BE49-F238E27FC236}">
              <a16:creationId xmlns:a16="http://schemas.microsoft.com/office/drawing/2014/main" id="{7B0634AA-93D8-432D-A4E6-3A603C67AB8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44" name="Text 3">
          <a:extLst>
            <a:ext uri="{FF2B5EF4-FFF2-40B4-BE49-F238E27FC236}">
              <a16:creationId xmlns:a16="http://schemas.microsoft.com/office/drawing/2014/main" id="{A1F2BE98-B980-4D0E-BBEE-81F23BEDAE0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45" name="Text 3">
          <a:extLst>
            <a:ext uri="{FF2B5EF4-FFF2-40B4-BE49-F238E27FC236}">
              <a16:creationId xmlns:a16="http://schemas.microsoft.com/office/drawing/2014/main" id="{F7661F5C-8DB7-4377-A488-8E4D4BDBA52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46" name="Text 3">
          <a:extLst>
            <a:ext uri="{FF2B5EF4-FFF2-40B4-BE49-F238E27FC236}">
              <a16:creationId xmlns:a16="http://schemas.microsoft.com/office/drawing/2014/main" id="{5592763B-4A5F-4477-9D07-93877E01152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47" name="Text 3">
          <a:extLst>
            <a:ext uri="{FF2B5EF4-FFF2-40B4-BE49-F238E27FC236}">
              <a16:creationId xmlns:a16="http://schemas.microsoft.com/office/drawing/2014/main" id="{87A9BEB1-DFE5-4474-A57F-962AB7D1700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48" name="Text 3">
          <a:extLst>
            <a:ext uri="{FF2B5EF4-FFF2-40B4-BE49-F238E27FC236}">
              <a16:creationId xmlns:a16="http://schemas.microsoft.com/office/drawing/2014/main" id="{308E55CA-2AFE-45BD-92EC-E07A8634970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49" name="Text 3">
          <a:extLst>
            <a:ext uri="{FF2B5EF4-FFF2-40B4-BE49-F238E27FC236}">
              <a16:creationId xmlns:a16="http://schemas.microsoft.com/office/drawing/2014/main" id="{E07449A8-0B48-49F5-8D28-DAB2ACE1CCF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50" name="Text 3">
          <a:extLst>
            <a:ext uri="{FF2B5EF4-FFF2-40B4-BE49-F238E27FC236}">
              <a16:creationId xmlns:a16="http://schemas.microsoft.com/office/drawing/2014/main" id="{F6382C97-2E08-410F-BE3A-F2F0B91E543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51" name="Text 3">
          <a:extLst>
            <a:ext uri="{FF2B5EF4-FFF2-40B4-BE49-F238E27FC236}">
              <a16:creationId xmlns:a16="http://schemas.microsoft.com/office/drawing/2014/main" id="{8C14FAB8-942D-4A93-853A-383CEE47FB0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52" name="Text 3">
          <a:extLst>
            <a:ext uri="{FF2B5EF4-FFF2-40B4-BE49-F238E27FC236}">
              <a16:creationId xmlns:a16="http://schemas.microsoft.com/office/drawing/2014/main" id="{E99C64F3-37FA-4D48-8E2C-C0EDA521F2E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53" name="Text 3">
          <a:extLst>
            <a:ext uri="{FF2B5EF4-FFF2-40B4-BE49-F238E27FC236}">
              <a16:creationId xmlns:a16="http://schemas.microsoft.com/office/drawing/2014/main" id="{25887364-330C-4029-A606-D58B716840C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54" name="Text 3">
          <a:extLst>
            <a:ext uri="{FF2B5EF4-FFF2-40B4-BE49-F238E27FC236}">
              <a16:creationId xmlns:a16="http://schemas.microsoft.com/office/drawing/2014/main" id="{B3534310-F215-438A-B6ED-67C9B82FE9E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55" name="Text 3">
          <a:extLst>
            <a:ext uri="{FF2B5EF4-FFF2-40B4-BE49-F238E27FC236}">
              <a16:creationId xmlns:a16="http://schemas.microsoft.com/office/drawing/2014/main" id="{51AE560F-DB2C-418D-8F7C-B698820BAE2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56" name="Text 3">
          <a:extLst>
            <a:ext uri="{FF2B5EF4-FFF2-40B4-BE49-F238E27FC236}">
              <a16:creationId xmlns:a16="http://schemas.microsoft.com/office/drawing/2014/main" id="{7C3CD0B5-979F-4658-B5F5-8819409B7FA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57" name="Text 3">
          <a:extLst>
            <a:ext uri="{FF2B5EF4-FFF2-40B4-BE49-F238E27FC236}">
              <a16:creationId xmlns:a16="http://schemas.microsoft.com/office/drawing/2014/main" id="{2B06299D-4330-4152-AFCC-A773AAE2367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58" name="Text 3">
          <a:extLst>
            <a:ext uri="{FF2B5EF4-FFF2-40B4-BE49-F238E27FC236}">
              <a16:creationId xmlns:a16="http://schemas.microsoft.com/office/drawing/2014/main" id="{8C8C5933-738E-480A-8B4A-C8AE13DD10D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59" name="Text 3">
          <a:extLst>
            <a:ext uri="{FF2B5EF4-FFF2-40B4-BE49-F238E27FC236}">
              <a16:creationId xmlns:a16="http://schemas.microsoft.com/office/drawing/2014/main" id="{E44374E1-8016-4C1B-900C-F60B40EA17B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60" name="Text 3">
          <a:extLst>
            <a:ext uri="{FF2B5EF4-FFF2-40B4-BE49-F238E27FC236}">
              <a16:creationId xmlns:a16="http://schemas.microsoft.com/office/drawing/2014/main" id="{99DB44FA-3ECA-418A-B4DF-FA810D91FA6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61" name="Text 3">
          <a:extLst>
            <a:ext uri="{FF2B5EF4-FFF2-40B4-BE49-F238E27FC236}">
              <a16:creationId xmlns:a16="http://schemas.microsoft.com/office/drawing/2014/main" id="{08443D4A-E51A-4DDB-B02C-4F68DDE3C37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62" name="Text 3">
          <a:extLst>
            <a:ext uri="{FF2B5EF4-FFF2-40B4-BE49-F238E27FC236}">
              <a16:creationId xmlns:a16="http://schemas.microsoft.com/office/drawing/2014/main" id="{41A86DF5-413C-4224-A4D2-064BC3BDAD5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63" name="Text 3">
          <a:extLst>
            <a:ext uri="{FF2B5EF4-FFF2-40B4-BE49-F238E27FC236}">
              <a16:creationId xmlns:a16="http://schemas.microsoft.com/office/drawing/2014/main" id="{B3925C93-AB34-47E7-BEEB-196E54200A3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64" name="Text 3">
          <a:extLst>
            <a:ext uri="{FF2B5EF4-FFF2-40B4-BE49-F238E27FC236}">
              <a16:creationId xmlns:a16="http://schemas.microsoft.com/office/drawing/2014/main" id="{852316F6-690B-4911-8B38-9F28867C218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65" name="Text 3">
          <a:extLst>
            <a:ext uri="{FF2B5EF4-FFF2-40B4-BE49-F238E27FC236}">
              <a16:creationId xmlns:a16="http://schemas.microsoft.com/office/drawing/2014/main" id="{CA42B659-5D1E-4FA2-A397-8D619363A20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66" name="Text 3">
          <a:extLst>
            <a:ext uri="{FF2B5EF4-FFF2-40B4-BE49-F238E27FC236}">
              <a16:creationId xmlns:a16="http://schemas.microsoft.com/office/drawing/2014/main" id="{B9CE9A0E-C8AA-42F7-80F2-21ED6C30030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67" name="Text 3">
          <a:extLst>
            <a:ext uri="{FF2B5EF4-FFF2-40B4-BE49-F238E27FC236}">
              <a16:creationId xmlns:a16="http://schemas.microsoft.com/office/drawing/2014/main" id="{93AB1269-0155-4DC9-AF84-A7080A98B1F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68" name="Text 3">
          <a:extLst>
            <a:ext uri="{FF2B5EF4-FFF2-40B4-BE49-F238E27FC236}">
              <a16:creationId xmlns:a16="http://schemas.microsoft.com/office/drawing/2014/main" id="{F52ED983-407A-4D7B-AC17-0D3152C939A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69" name="Text 3">
          <a:extLst>
            <a:ext uri="{FF2B5EF4-FFF2-40B4-BE49-F238E27FC236}">
              <a16:creationId xmlns:a16="http://schemas.microsoft.com/office/drawing/2014/main" id="{D7C78E1C-8C40-4A84-8A70-E5993D4AAE5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70" name="Text 3">
          <a:extLst>
            <a:ext uri="{FF2B5EF4-FFF2-40B4-BE49-F238E27FC236}">
              <a16:creationId xmlns:a16="http://schemas.microsoft.com/office/drawing/2014/main" id="{73C06C01-A7A6-45A6-9E58-F495EDEFD06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71" name="Text 3">
          <a:extLst>
            <a:ext uri="{FF2B5EF4-FFF2-40B4-BE49-F238E27FC236}">
              <a16:creationId xmlns:a16="http://schemas.microsoft.com/office/drawing/2014/main" id="{0768451C-8310-4E71-A136-94DEC590BD7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72" name="Text 3">
          <a:extLst>
            <a:ext uri="{FF2B5EF4-FFF2-40B4-BE49-F238E27FC236}">
              <a16:creationId xmlns:a16="http://schemas.microsoft.com/office/drawing/2014/main" id="{94754033-2EFB-41F5-9C25-09327960D03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73" name="Text 3">
          <a:extLst>
            <a:ext uri="{FF2B5EF4-FFF2-40B4-BE49-F238E27FC236}">
              <a16:creationId xmlns:a16="http://schemas.microsoft.com/office/drawing/2014/main" id="{BBE49A35-D417-4E48-8ED4-AA9BB410E26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74" name="Text 3">
          <a:extLst>
            <a:ext uri="{FF2B5EF4-FFF2-40B4-BE49-F238E27FC236}">
              <a16:creationId xmlns:a16="http://schemas.microsoft.com/office/drawing/2014/main" id="{A4B4A3C2-9067-4C3B-9CCB-34EB46C891A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75" name="Text 3">
          <a:extLst>
            <a:ext uri="{FF2B5EF4-FFF2-40B4-BE49-F238E27FC236}">
              <a16:creationId xmlns:a16="http://schemas.microsoft.com/office/drawing/2014/main" id="{755EC2EE-3FE5-415B-BCFD-18365BE2666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76" name="Text 3">
          <a:extLst>
            <a:ext uri="{FF2B5EF4-FFF2-40B4-BE49-F238E27FC236}">
              <a16:creationId xmlns:a16="http://schemas.microsoft.com/office/drawing/2014/main" id="{A987BCE5-9F47-478B-BA7B-E0F614F1232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77" name="Text 3">
          <a:extLst>
            <a:ext uri="{FF2B5EF4-FFF2-40B4-BE49-F238E27FC236}">
              <a16:creationId xmlns:a16="http://schemas.microsoft.com/office/drawing/2014/main" id="{0FBF8640-702D-4348-A22D-3E34029FB97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78" name="Text 3">
          <a:extLst>
            <a:ext uri="{FF2B5EF4-FFF2-40B4-BE49-F238E27FC236}">
              <a16:creationId xmlns:a16="http://schemas.microsoft.com/office/drawing/2014/main" id="{5E8ACC17-64B8-41BC-8AF2-0535C07D959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79" name="Text 3">
          <a:extLst>
            <a:ext uri="{FF2B5EF4-FFF2-40B4-BE49-F238E27FC236}">
              <a16:creationId xmlns:a16="http://schemas.microsoft.com/office/drawing/2014/main" id="{395C241C-0580-4A65-B043-8ACCFB98DB1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80" name="Text 3">
          <a:extLst>
            <a:ext uri="{FF2B5EF4-FFF2-40B4-BE49-F238E27FC236}">
              <a16:creationId xmlns:a16="http://schemas.microsoft.com/office/drawing/2014/main" id="{170FDE07-36C1-4E5A-B535-370C10E9171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81" name="Text 3">
          <a:extLst>
            <a:ext uri="{FF2B5EF4-FFF2-40B4-BE49-F238E27FC236}">
              <a16:creationId xmlns:a16="http://schemas.microsoft.com/office/drawing/2014/main" id="{7A3A8ACC-E880-4FA8-8050-18E61591264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82" name="Text 3">
          <a:extLst>
            <a:ext uri="{FF2B5EF4-FFF2-40B4-BE49-F238E27FC236}">
              <a16:creationId xmlns:a16="http://schemas.microsoft.com/office/drawing/2014/main" id="{EE1D2459-6391-444A-AE1E-69A823346F1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83" name="Text 3">
          <a:extLst>
            <a:ext uri="{FF2B5EF4-FFF2-40B4-BE49-F238E27FC236}">
              <a16:creationId xmlns:a16="http://schemas.microsoft.com/office/drawing/2014/main" id="{689B62B3-7666-49B9-8889-351A346ABFB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84" name="Text 3">
          <a:extLst>
            <a:ext uri="{FF2B5EF4-FFF2-40B4-BE49-F238E27FC236}">
              <a16:creationId xmlns:a16="http://schemas.microsoft.com/office/drawing/2014/main" id="{A9F1A583-A88B-4C2D-8A2A-16C61B00C48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85" name="Text 3">
          <a:extLst>
            <a:ext uri="{FF2B5EF4-FFF2-40B4-BE49-F238E27FC236}">
              <a16:creationId xmlns:a16="http://schemas.microsoft.com/office/drawing/2014/main" id="{893DF034-4DDF-4E33-92B3-1079F118906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86" name="Text 3">
          <a:extLst>
            <a:ext uri="{FF2B5EF4-FFF2-40B4-BE49-F238E27FC236}">
              <a16:creationId xmlns:a16="http://schemas.microsoft.com/office/drawing/2014/main" id="{9E438596-D236-4042-98A4-2C792E66D60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87" name="Text 3">
          <a:extLst>
            <a:ext uri="{FF2B5EF4-FFF2-40B4-BE49-F238E27FC236}">
              <a16:creationId xmlns:a16="http://schemas.microsoft.com/office/drawing/2014/main" id="{B1392506-B162-4F0D-BCDF-7DFA45056A7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88" name="Text 3">
          <a:extLst>
            <a:ext uri="{FF2B5EF4-FFF2-40B4-BE49-F238E27FC236}">
              <a16:creationId xmlns:a16="http://schemas.microsoft.com/office/drawing/2014/main" id="{C07A140D-C291-41CB-8AD1-E966F27AB5D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89" name="Text 3">
          <a:extLst>
            <a:ext uri="{FF2B5EF4-FFF2-40B4-BE49-F238E27FC236}">
              <a16:creationId xmlns:a16="http://schemas.microsoft.com/office/drawing/2014/main" id="{1C70BEEF-6585-4610-BCCB-E49342484DC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90" name="Text 3">
          <a:extLst>
            <a:ext uri="{FF2B5EF4-FFF2-40B4-BE49-F238E27FC236}">
              <a16:creationId xmlns:a16="http://schemas.microsoft.com/office/drawing/2014/main" id="{4E55E1C0-09AE-452B-85B8-046D2CDCA28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91" name="Text 3">
          <a:extLst>
            <a:ext uri="{FF2B5EF4-FFF2-40B4-BE49-F238E27FC236}">
              <a16:creationId xmlns:a16="http://schemas.microsoft.com/office/drawing/2014/main" id="{D7367CF1-FA19-4107-BFE3-E696006DBB9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92" name="Text 3">
          <a:extLst>
            <a:ext uri="{FF2B5EF4-FFF2-40B4-BE49-F238E27FC236}">
              <a16:creationId xmlns:a16="http://schemas.microsoft.com/office/drawing/2014/main" id="{454FC5F6-053A-4C9D-AB76-6B89BBE2AF2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93" name="Text 3">
          <a:extLst>
            <a:ext uri="{FF2B5EF4-FFF2-40B4-BE49-F238E27FC236}">
              <a16:creationId xmlns:a16="http://schemas.microsoft.com/office/drawing/2014/main" id="{E7BD4669-6C52-446D-91FB-77ACE2EA07C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94" name="Text 3">
          <a:extLst>
            <a:ext uri="{FF2B5EF4-FFF2-40B4-BE49-F238E27FC236}">
              <a16:creationId xmlns:a16="http://schemas.microsoft.com/office/drawing/2014/main" id="{E8018765-7486-4971-B819-E6B0F99144E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95" name="Text 3">
          <a:extLst>
            <a:ext uri="{FF2B5EF4-FFF2-40B4-BE49-F238E27FC236}">
              <a16:creationId xmlns:a16="http://schemas.microsoft.com/office/drawing/2014/main" id="{EF4AD23A-398F-4111-8C07-B607EB5AC74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96" name="Text 3">
          <a:extLst>
            <a:ext uri="{FF2B5EF4-FFF2-40B4-BE49-F238E27FC236}">
              <a16:creationId xmlns:a16="http://schemas.microsoft.com/office/drawing/2014/main" id="{0722E5B8-339A-4AF4-A0DD-A19EBCCB1A0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97" name="Text 3">
          <a:extLst>
            <a:ext uri="{FF2B5EF4-FFF2-40B4-BE49-F238E27FC236}">
              <a16:creationId xmlns:a16="http://schemas.microsoft.com/office/drawing/2014/main" id="{7717656B-DC76-4BD9-A28B-51563CCAD9D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98" name="Text 3">
          <a:extLst>
            <a:ext uri="{FF2B5EF4-FFF2-40B4-BE49-F238E27FC236}">
              <a16:creationId xmlns:a16="http://schemas.microsoft.com/office/drawing/2014/main" id="{D0F9FDEE-DAB9-4F0A-8ECB-F2B21B11DBF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99" name="Text 3">
          <a:extLst>
            <a:ext uri="{FF2B5EF4-FFF2-40B4-BE49-F238E27FC236}">
              <a16:creationId xmlns:a16="http://schemas.microsoft.com/office/drawing/2014/main" id="{18D09DEF-7DDE-46A0-A3C3-3A1D0E3F611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00" name="Text 3">
          <a:extLst>
            <a:ext uri="{FF2B5EF4-FFF2-40B4-BE49-F238E27FC236}">
              <a16:creationId xmlns:a16="http://schemas.microsoft.com/office/drawing/2014/main" id="{212FB55C-FE6F-4429-90E3-1A0D87FB9EE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01" name="Text 3">
          <a:extLst>
            <a:ext uri="{FF2B5EF4-FFF2-40B4-BE49-F238E27FC236}">
              <a16:creationId xmlns:a16="http://schemas.microsoft.com/office/drawing/2014/main" id="{53A0B0F0-463C-4C91-8C40-B4883F4AAB7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02" name="Text 3">
          <a:extLst>
            <a:ext uri="{FF2B5EF4-FFF2-40B4-BE49-F238E27FC236}">
              <a16:creationId xmlns:a16="http://schemas.microsoft.com/office/drawing/2014/main" id="{80DF5152-6998-40F9-B808-E8786AE5AF2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03" name="Text 3">
          <a:extLst>
            <a:ext uri="{FF2B5EF4-FFF2-40B4-BE49-F238E27FC236}">
              <a16:creationId xmlns:a16="http://schemas.microsoft.com/office/drawing/2014/main" id="{CFF6FE8A-F230-4BBC-B6B8-F8C72A8FEEB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04" name="Text 3">
          <a:extLst>
            <a:ext uri="{FF2B5EF4-FFF2-40B4-BE49-F238E27FC236}">
              <a16:creationId xmlns:a16="http://schemas.microsoft.com/office/drawing/2014/main" id="{1C851B91-5B6E-42FB-91AF-1E2DA66DFFC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05" name="Text 3">
          <a:extLst>
            <a:ext uri="{FF2B5EF4-FFF2-40B4-BE49-F238E27FC236}">
              <a16:creationId xmlns:a16="http://schemas.microsoft.com/office/drawing/2014/main" id="{B00AE918-229B-4331-BE85-FEE3E0FBB2D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06" name="Text 3">
          <a:extLst>
            <a:ext uri="{FF2B5EF4-FFF2-40B4-BE49-F238E27FC236}">
              <a16:creationId xmlns:a16="http://schemas.microsoft.com/office/drawing/2014/main" id="{9F8A4EF9-25F0-4EA5-958E-D354D33C0FD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07" name="Text 3">
          <a:extLst>
            <a:ext uri="{FF2B5EF4-FFF2-40B4-BE49-F238E27FC236}">
              <a16:creationId xmlns:a16="http://schemas.microsoft.com/office/drawing/2014/main" id="{822421BB-7FD0-4006-9B49-841AC0707AA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08" name="Text 3">
          <a:extLst>
            <a:ext uri="{FF2B5EF4-FFF2-40B4-BE49-F238E27FC236}">
              <a16:creationId xmlns:a16="http://schemas.microsoft.com/office/drawing/2014/main" id="{9FD465D3-F1C4-4D7F-9337-DF0E129D41D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09" name="Text 3">
          <a:extLst>
            <a:ext uri="{FF2B5EF4-FFF2-40B4-BE49-F238E27FC236}">
              <a16:creationId xmlns:a16="http://schemas.microsoft.com/office/drawing/2014/main" id="{EDC119B5-CEB7-4B08-B5EF-DA14754F7AD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10" name="Text 3">
          <a:extLst>
            <a:ext uri="{FF2B5EF4-FFF2-40B4-BE49-F238E27FC236}">
              <a16:creationId xmlns:a16="http://schemas.microsoft.com/office/drawing/2014/main" id="{69B3790B-D0F2-4C0E-8DC9-932DF618C69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11" name="Text 3">
          <a:extLst>
            <a:ext uri="{FF2B5EF4-FFF2-40B4-BE49-F238E27FC236}">
              <a16:creationId xmlns:a16="http://schemas.microsoft.com/office/drawing/2014/main" id="{D7FF4E95-369B-41DD-BD91-A9D17260C7A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12" name="Text 3">
          <a:extLst>
            <a:ext uri="{FF2B5EF4-FFF2-40B4-BE49-F238E27FC236}">
              <a16:creationId xmlns:a16="http://schemas.microsoft.com/office/drawing/2014/main" id="{D58E5DAD-A563-4844-8EF3-F068761AD83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13" name="Text 3">
          <a:extLst>
            <a:ext uri="{FF2B5EF4-FFF2-40B4-BE49-F238E27FC236}">
              <a16:creationId xmlns:a16="http://schemas.microsoft.com/office/drawing/2014/main" id="{5F68F81D-25C3-4D2B-B04D-A4AF2766A7E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14" name="Text 3">
          <a:extLst>
            <a:ext uri="{FF2B5EF4-FFF2-40B4-BE49-F238E27FC236}">
              <a16:creationId xmlns:a16="http://schemas.microsoft.com/office/drawing/2014/main" id="{D2412B04-6392-41D5-BD31-FB1ACDAC7F5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15" name="Text 3">
          <a:extLst>
            <a:ext uri="{FF2B5EF4-FFF2-40B4-BE49-F238E27FC236}">
              <a16:creationId xmlns:a16="http://schemas.microsoft.com/office/drawing/2014/main" id="{B586D89C-F483-4B04-81D3-E9AC2225B07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16" name="Text 3">
          <a:extLst>
            <a:ext uri="{FF2B5EF4-FFF2-40B4-BE49-F238E27FC236}">
              <a16:creationId xmlns:a16="http://schemas.microsoft.com/office/drawing/2014/main" id="{27E0807F-1C35-4167-AC47-C91075DA468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17" name="Text 3">
          <a:extLst>
            <a:ext uri="{FF2B5EF4-FFF2-40B4-BE49-F238E27FC236}">
              <a16:creationId xmlns:a16="http://schemas.microsoft.com/office/drawing/2014/main" id="{E7A15737-6A28-4501-93D2-FE02C92CE31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18" name="Text 3">
          <a:extLst>
            <a:ext uri="{FF2B5EF4-FFF2-40B4-BE49-F238E27FC236}">
              <a16:creationId xmlns:a16="http://schemas.microsoft.com/office/drawing/2014/main" id="{81361AA9-9597-4A5D-8D9A-48A0CFF0F6E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19" name="Text 3">
          <a:extLst>
            <a:ext uri="{FF2B5EF4-FFF2-40B4-BE49-F238E27FC236}">
              <a16:creationId xmlns:a16="http://schemas.microsoft.com/office/drawing/2014/main" id="{DE48927A-FF16-40EE-B67B-A792F016DF0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20" name="Text 3">
          <a:extLst>
            <a:ext uri="{FF2B5EF4-FFF2-40B4-BE49-F238E27FC236}">
              <a16:creationId xmlns:a16="http://schemas.microsoft.com/office/drawing/2014/main" id="{72B9FC1E-7684-408F-95E3-AFB0AC53151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21" name="Text 3">
          <a:extLst>
            <a:ext uri="{FF2B5EF4-FFF2-40B4-BE49-F238E27FC236}">
              <a16:creationId xmlns:a16="http://schemas.microsoft.com/office/drawing/2014/main" id="{3F5E112B-23FF-4FD0-ADD4-5116CCE58BA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22" name="Text 3">
          <a:extLst>
            <a:ext uri="{FF2B5EF4-FFF2-40B4-BE49-F238E27FC236}">
              <a16:creationId xmlns:a16="http://schemas.microsoft.com/office/drawing/2014/main" id="{0A537490-E63B-4FF2-9FD8-50CD62C9D68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23" name="Text 3">
          <a:extLst>
            <a:ext uri="{FF2B5EF4-FFF2-40B4-BE49-F238E27FC236}">
              <a16:creationId xmlns:a16="http://schemas.microsoft.com/office/drawing/2014/main" id="{BECEFB58-A3EF-4BA8-B94B-49EB9B86D5C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24" name="Text 3">
          <a:extLst>
            <a:ext uri="{FF2B5EF4-FFF2-40B4-BE49-F238E27FC236}">
              <a16:creationId xmlns:a16="http://schemas.microsoft.com/office/drawing/2014/main" id="{B128F8F5-A3E3-4F91-B131-DE9A076D00B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25" name="Text 3">
          <a:extLst>
            <a:ext uri="{FF2B5EF4-FFF2-40B4-BE49-F238E27FC236}">
              <a16:creationId xmlns:a16="http://schemas.microsoft.com/office/drawing/2014/main" id="{48E19ED3-3703-4C69-98BE-43BBB91ED0B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26" name="Text 3">
          <a:extLst>
            <a:ext uri="{FF2B5EF4-FFF2-40B4-BE49-F238E27FC236}">
              <a16:creationId xmlns:a16="http://schemas.microsoft.com/office/drawing/2014/main" id="{853D13D0-AC37-405A-8C85-2056E8971EE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27" name="Text 3">
          <a:extLst>
            <a:ext uri="{FF2B5EF4-FFF2-40B4-BE49-F238E27FC236}">
              <a16:creationId xmlns:a16="http://schemas.microsoft.com/office/drawing/2014/main" id="{4386A6FF-21E4-4A18-89DD-D989CE4F682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28" name="Text 3">
          <a:extLst>
            <a:ext uri="{FF2B5EF4-FFF2-40B4-BE49-F238E27FC236}">
              <a16:creationId xmlns:a16="http://schemas.microsoft.com/office/drawing/2014/main" id="{B6D482DD-0332-4786-A0D7-BED4538D2CA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29" name="Text 3">
          <a:extLst>
            <a:ext uri="{FF2B5EF4-FFF2-40B4-BE49-F238E27FC236}">
              <a16:creationId xmlns:a16="http://schemas.microsoft.com/office/drawing/2014/main" id="{4EAF5D6D-BCF1-4E55-8AED-E1E500B652B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30" name="Text 3">
          <a:extLst>
            <a:ext uri="{FF2B5EF4-FFF2-40B4-BE49-F238E27FC236}">
              <a16:creationId xmlns:a16="http://schemas.microsoft.com/office/drawing/2014/main" id="{C64E3EDC-B26A-41A2-B781-5ED85F29BD4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31" name="Text 3">
          <a:extLst>
            <a:ext uri="{FF2B5EF4-FFF2-40B4-BE49-F238E27FC236}">
              <a16:creationId xmlns:a16="http://schemas.microsoft.com/office/drawing/2014/main" id="{60D16C93-1900-4570-A2B2-E5CC9EEAFA7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32" name="Text 3">
          <a:extLst>
            <a:ext uri="{FF2B5EF4-FFF2-40B4-BE49-F238E27FC236}">
              <a16:creationId xmlns:a16="http://schemas.microsoft.com/office/drawing/2014/main" id="{8C6B3998-1F48-49D3-A14A-915D4ED2C11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33" name="Text 3">
          <a:extLst>
            <a:ext uri="{FF2B5EF4-FFF2-40B4-BE49-F238E27FC236}">
              <a16:creationId xmlns:a16="http://schemas.microsoft.com/office/drawing/2014/main" id="{4A5B613A-B8D3-49B1-AB4F-255D160EC19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34" name="Text 3">
          <a:extLst>
            <a:ext uri="{FF2B5EF4-FFF2-40B4-BE49-F238E27FC236}">
              <a16:creationId xmlns:a16="http://schemas.microsoft.com/office/drawing/2014/main" id="{B63F9F91-A802-493C-B36B-B65B5ECE804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35" name="Text 3">
          <a:extLst>
            <a:ext uri="{FF2B5EF4-FFF2-40B4-BE49-F238E27FC236}">
              <a16:creationId xmlns:a16="http://schemas.microsoft.com/office/drawing/2014/main" id="{D035993B-DA86-4830-B167-841D192D313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36" name="Text 3">
          <a:extLst>
            <a:ext uri="{FF2B5EF4-FFF2-40B4-BE49-F238E27FC236}">
              <a16:creationId xmlns:a16="http://schemas.microsoft.com/office/drawing/2014/main" id="{98A14FFF-1D8F-44C8-9DD5-2CD77A77D43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37" name="Text 3">
          <a:extLst>
            <a:ext uri="{FF2B5EF4-FFF2-40B4-BE49-F238E27FC236}">
              <a16:creationId xmlns:a16="http://schemas.microsoft.com/office/drawing/2014/main" id="{CEF4A9D5-00DC-4618-AEF7-67426A4C33B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38" name="Text 3">
          <a:extLst>
            <a:ext uri="{FF2B5EF4-FFF2-40B4-BE49-F238E27FC236}">
              <a16:creationId xmlns:a16="http://schemas.microsoft.com/office/drawing/2014/main" id="{B7FE8FCC-901B-4868-BBF1-934DB9CF9EB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39" name="Text 3">
          <a:extLst>
            <a:ext uri="{FF2B5EF4-FFF2-40B4-BE49-F238E27FC236}">
              <a16:creationId xmlns:a16="http://schemas.microsoft.com/office/drawing/2014/main" id="{1312E972-7553-4E68-B2E5-417E5CE38B7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40" name="Text 3">
          <a:extLst>
            <a:ext uri="{FF2B5EF4-FFF2-40B4-BE49-F238E27FC236}">
              <a16:creationId xmlns:a16="http://schemas.microsoft.com/office/drawing/2014/main" id="{ACF04FBB-6C56-49A9-AA5B-8B50D759B39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41" name="Text 3">
          <a:extLst>
            <a:ext uri="{FF2B5EF4-FFF2-40B4-BE49-F238E27FC236}">
              <a16:creationId xmlns:a16="http://schemas.microsoft.com/office/drawing/2014/main" id="{D3ACE048-A628-4D31-ADE7-891951C7307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42" name="Text 3">
          <a:extLst>
            <a:ext uri="{FF2B5EF4-FFF2-40B4-BE49-F238E27FC236}">
              <a16:creationId xmlns:a16="http://schemas.microsoft.com/office/drawing/2014/main" id="{9D2AC78C-A285-47C2-AC82-9AB1EBC09B6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43" name="Text 3">
          <a:extLst>
            <a:ext uri="{FF2B5EF4-FFF2-40B4-BE49-F238E27FC236}">
              <a16:creationId xmlns:a16="http://schemas.microsoft.com/office/drawing/2014/main" id="{3309C9B1-D59E-4A28-8FB7-D07BF81AC78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44" name="Text 3">
          <a:extLst>
            <a:ext uri="{FF2B5EF4-FFF2-40B4-BE49-F238E27FC236}">
              <a16:creationId xmlns:a16="http://schemas.microsoft.com/office/drawing/2014/main" id="{C7CB649B-122E-4CD1-A4FD-57B27D364EE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45" name="Text 3">
          <a:extLst>
            <a:ext uri="{FF2B5EF4-FFF2-40B4-BE49-F238E27FC236}">
              <a16:creationId xmlns:a16="http://schemas.microsoft.com/office/drawing/2014/main" id="{D4B05012-68B6-4ADE-9468-0AE00ECEE93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46" name="Text 3">
          <a:extLst>
            <a:ext uri="{FF2B5EF4-FFF2-40B4-BE49-F238E27FC236}">
              <a16:creationId xmlns:a16="http://schemas.microsoft.com/office/drawing/2014/main" id="{543591E1-D4FB-440C-A3E3-56A24AEB8EB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47" name="Text 3">
          <a:extLst>
            <a:ext uri="{FF2B5EF4-FFF2-40B4-BE49-F238E27FC236}">
              <a16:creationId xmlns:a16="http://schemas.microsoft.com/office/drawing/2014/main" id="{AA37FF4C-307E-4738-ACA1-3032DB93721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48" name="Text 3">
          <a:extLst>
            <a:ext uri="{FF2B5EF4-FFF2-40B4-BE49-F238E27FC236}">
              <a16:creationId xmlns:a16="http://schemas.microsoft.com/office/drawing/2014/main" id="{7F6CC8D7-25EC-4135-931C-4DF9D1C33C9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49" name="Text 3">
          <a:extLst>
            <a:ext uri="{FF2B5EF4-FFF2-40B4-BE49-F238E27FC236}">
              <a16:creationId xmlns:a16="http://schemas.microsoft.com/office/drawing/2014/main" id="{4A901052-37AA-4A40-B5EE-4928B5229F0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50" name="Text 3">
          <a:extLst>
            <a:ext uri="{FF2B5EF4-FFF2-40B4-BE49-F238E27FC236}">
              <a16:creationId xmlns:a16="http://schemas.microsoft.com/office/drawing/2014/main" id="{B4046EEA-2EB1-4C92-AC78-131700A59D4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51" name="Text 3">
          <a:extLst>
            <a:ext uri="{FF2B5EF4-FFF2-40B4-BE49-F238E27FC236}">
              <a16:creationId xmlns:a16="http://schemas.microsoft.com/office/drawing/2014/main" id="{58C539C7-0BD9-4C43-B945-B2632BF7010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52" name="Text 3">
          <a:extLst>
            <a:ext uri="{FF2B5EF4-FFF2-40B4-BE49-F238E27FC236}">
              <a16:creationId xmlns:a16="http://schemas.microsoft.com/office/drawing/2014/main" id="{AC18E2F6-DEE7-44A2-8B41-748B6EB1605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53" name="Text 3">
          <a:extLst>
            <a:ext uri="{FF2B5EF4-FFF2-40B4-BE49-F238E27FC236}">
              <a16:creationId xmlns:a16="http://schemas.microsoft.com/office/drawing/2014/main" id="{4303B90C-09B0-4F08-8957-E53D5210E7D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54" name="Text 3">
          <a:extLst>
            <a:ext uri="{FF2B5EF4-FFF2-40B4-BE49-F238E27FC236}">
              <a16:creationId xmlns:a16="http://schemas.microsoft.com/office/drawing/2014/main" id="{8E5F0B1A-25EB-43C8-AA31-7AA854501BA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55" name="Text 3">
          <a:extLst>
            <a:ext uri="{FF2B5EF4-FFF2-40B4-BE49-F238E27FC236}">
              <a16:creationId xmlns:a16="http://schemas.microsoft.com/office/drawing/2014/main" id="{21851529-2CB6-47C4-8723-C0685BD9E79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56" name="Text 3">
          <a:extLst>
            <a:ext uri="{FF2B5EF4-FFF2-40B4-BE49-F238E27FC236}">
              <a16:creationId xmlns:a16="http://schemas.microsoft.com/office/drawing/2014/main" id="{8C18FD55-25D0-4434-8611-CB93B13EF74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57" name="Text 3">
          <a:extLst>
            <a:ext uri="{FF2B5EF4-FFF2-40B4-BE49-F238E27FC236}">
              <a16:creationId xmlns:a16="http://schemas.microsoft.com/office/drawing/2014/main" id="{A2A3E6B8-927B-43A9-87CF-E4E880858A1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58" name="Text 3">
          <a:extLst>
            <a:ext uri="{FF2B5EF4-FFF2-40B4-BE49-F238E27FC236}">
              <a16:creationId xmlns:a16="http://schemas.microsoft.com/office/drawing/2014/main" id="{CCADEE79-044E-4ED1-9296-B5441A554D0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59" name="Text 3">
          <a:extLst>
            <a:ext uri="{FF2B5EF4-FFF2-40B4-BE49-F238E27FC236}">
              <a16:creationId xmlns:a16="http://schemas.microsoft.com/office/drawing/2014/main" id="{27BA0B81-778C-4109-A81D-B0BD0DEA7EE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60" name="Text 3">
          <a:extLst>
            <a:ext uri="{FF2B5EF4-FFF2-40B4-BE49-F238E27FC236}">
              <a16:creationId xmlns:a16="http://schemas.microsoft.com/office/drawing/2014/main" id="{119A3EC2-6CD8-4AFE-997C-600EA059893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61" name="Text 3">
          <a:extLst>
            <a:ext uri="{FF2B5EF4-FFF2-40B4-BE49-F238E27FC236}">
              <a16:creationId xmlns:a16="http://schemas.microsoft.com/office/drawing/2014/main" id="{59C77BCC-CA0B-4871-BA38-479E6863A26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62" name="Text 3">
          <a:extLst>
            <a:ext uri="{FF2B5EF4-FFF2-40B4-BE49-F238E27FC236}">
              <a16:creationId xmlns:a16="http://schemas.microsoft.com/office/drawing/2014/main" id="{0FF545BD-C6F1-4132-B960-1DB62DDAAA5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63" name="Text 3">
          <a:extLst>
            <a:ext uri="{FF2B5EF4-FFF2-40B4-BE49-F238E27FC236}">
              <a16:creationId xmlns:a16="http://schemas.microsoft.com/office/drawing/2014/main" id="{90D8BE3B-F367-456E-AEAF-818DE47ED04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64" name="Text 3">
          <a:extLst>
            <a:ext uri="{FF2B5EF4-FFF2-40B4-BE49-F238E27FC236}">
              <a16:creationId xmlns:a16="http://schemas.microsoft.com/office/drawing/2014/main" id="{D9B23400-D42E-4951-9825-4DB07BC656B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65" name="Text 3">
          <a:extLst>
            <a:ext uri="{FF2B5EF4-FFF2-40B4-BE49-F238E27FC236}">
              <a16:creationId xmlns:a16="http://schemas.microsoft.com/office/drawing/2014/main" id="{CEFB020C-5722-4181-B081-EF1E4DB97F9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66" name="Text 3">
          <a:extLst>
            <a:ext uri="{FF2B5EF4-FFF2-40B4-BE49-F238E27FC236}">
              <a16:creationId xmlns:a16="http://schemas.microsoft.com/office/drawing/2014/main" id="{9ABF65D9-8202-4218-AF51-CFFE2A97D4C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67" name="Text 3">
          <a:extLst>
            <a:ext uri="{FF2B5EF4-FFF2-40B4-BE49-F238E27FC236}">
              <a16:creationId xmlns:a16="http://schemas.microsoft.com/office/drawing/2014/main" id="{F8363DB1-FAB4-43C4-8846-3EE8AB59F62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68" name="Text 3">
          <a:extLst>
            <a:ext uri="{FF2B5EF4-FFF2-40B4-BE49-F238E27FC236}">
              <a16:creationId xmlns:a16="http://schemas.microsoft.com/office/drawing/2014/main" id="{F2A5FE2C-B241-4FAA-B94C-78BF8814BF3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69" name="Text 3">
          <a:extLst>
            <a:ext uri="{FF2B5EF4-FFF2-40B4-BE49-F238E27FC236}">
              <a16:creationId xmlns:a16="http://schemas.microsoft.com/office/drawing/2014/main" id="{F628D69B-6523-4DDE-992A-471F45873BD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70" name="Text 3">
          <a:extLst>
            <a:ext uri="{FF2B5EF4-FFF2-40B4-BE49-F238E27FC236}">
              <a16:creationId xmlns:a16="http://schemas.microsoft.com/office/drawing/2014/main" id="{BE917B8A-4BD3-4107-939A-59C9CA77363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71" name="Text 3">
          <a:extLst>
            <a:ext uri="{FF2B5EF4-FFF2-40B4-BE49-F238E27FC236}">
              <a16:creationId xmlns:a16="http://schemas.microsoft.com/office/drawing/2014/main" id="{871DA875-45B8-4B64-B07D-BD951D9FDB6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72" name="Text 3">
          <a:extLst>
            <a:ext uri="{FF2B5EF4-FFF2-40B4-BE49-F238E27FC236}">
              <a16:creationId xmlns:a16="http://schemas.microsoft.com/office/drawing/2014/main" id="{AC71419E-144B-4517-A8BC-65F40B72186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73" name="Text 3">
          <a:extLst>
            <a:ext uri="{FF2B5EF4-FFF2-40B4-BE49-F238E27FC236}">
              <a16:creationId xmlns:a16="http://schemas.microsoft.com/office/drawing/2014/main" id="{7B5E9F9D-921F-4A88-B085-510EB557196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74" name="Text 3">
          <a:extLst>
            <a:ext uri="{FF2B5EF4-FFF2-40B4-BE49-F238E27FC236}">
              <a16:creationId xmlns:a16="http://schemas.microsoft.com/office/drawing/2014/main" id="{5600E0EF-2C99-4588-9247-B180E7430E8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75" name="Text 3">
          <a:extLst>
            <a:ext uri="{FF2B5EF4-FFF2-40B4-BE49-F238E27FC236}">
              <a16:creationId xmlns:a16="http://schemas.microsoft.com/office/drawing/2014/main" id="{D84D6377-146E-47DC-A243-85D3CBEA33B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76" name="Text 3">
          <a:extLst>
            <a:ext uri="{FF2B5EF4-FFF2-40B4-BE49-F238E27FC236}">
              <a16:creationId xmlns:a16="http://schemas.microsoft.com/office/drawing/2014/main" id="{C02940C6-ED9D-44E1-B9F3-64A69D26B95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77" name="Text 3">
          <a:extLst>
            <a:ext uri="{FF2B5EF4-FFF2-40B4-BE49-F238E27FC236}">
              <a16:creationId xmlns:a16="http://schemas.microsoft.com/office/drawing/2014/main" id="{8E6948FE-7156-40AB-8FF1-4A5584D643D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78" name="Text 3">
          <a:extLst>
            <a:ext uri="{FF2B5EF4-FFF2-40B4-BE49-F238E27FC236}">
              <a16:creationId xmlns:a16="http://schemas.microsoft.com/office/drawing/2014/main" id="{6F104363-01BF-47AC-BC62-41D61645D1A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79" name="Text 3">
          <a:extLst>
            <a:ext uri="{FF2B5EF4-FFF2-40B4-BE49-F238E27FC236}">
              <a16:creationId xmlns:a16="http://schemas.microsoft.com/office/drawing/2014/main" id="{7B804F98-DCE6-4363-A077-5B5A47A4766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80" name="Text 3">
          <a:extLst>
            <a:ext uri="{FF2B5EF4-FFF2-40B4-BE49-F238E27FC236}">
              <a16:creationId xmlns:a16="http://schemas.microsoft.com/office/drawing/2014/main" id="{C82A35A5-626B-4FFA-9752-B0C44D8E60E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81" name="Text 3">
          <a:extLst>
            <a:ext uri="{FF2B5EF4-FFF2-40B4-BE49-F238E27FC236}">
              <a16:creationId xmlns:a16="http://schemas.microsoft.com/office/drawing/2014/main" id="{EE7611DC-F746-490F-9372-AE7395F490C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82" name="Text 3">
          <a:extLst>
            <a:ext uri="{FF2B5EF4-FFF2-40B4-BE49-F238E27FC236}">
              <a16:creationId xmlns:a16="http://schemas.microsoft.com/office/drawing/2014/main" id="{D51079C6-3F3E-47C9-BC0F-5EA271F512A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83" name="Text 3">
          <a:extLst>
            <a:ext uri="{FF2B5EF4-FFF2-40B4-BE49-F238E27FC236}">
              <a16:creationId xmlns:a16="http://schemas.microsoft.com/office/drawing/2014/main" id="{27D4EBC4-5621-415A-BA67-C30B623B57A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84" name="Text 3">
          <a:extLst>
            <a:ext uri="{FF2B5EF4-FFF2-40B4-BE49-F238E27FC236}">
              <a16:creationId xmlns:a16="http://schemas.microsoft.com/office/drawing/2014/main" id="{0FD040CB-CAB4-491C-81AF-0E7BAE3ECBE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85" name="Text 3">
          <a:extLst>
            <a:ext uri="{FF2B5EF4-FFF2-40B4-BE49-F238E27FC236}">
              <a16:creationId xmlns:a16="http://schemas.microsoft.com/office/drawing/2014/main" id="{CDAF31B7-2F6A-4F3D-89B0-28FDD168EF7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86" name="Text 3">
          <a:extLst>
            <a:ext uri="{FF2B5EF4-FFF2-40B4-BE49-F238E27FC236}">
              <a16:creationId xmlns:a16="http://schemas.microsoft.com/office/drawing/2014/main" id="{264ABF35-CAE2-4005-B793-7A5FD66A4DA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87" name="Text 3">
          <a:extLst>
            <a:ext uri="{FF2B5EF4-FFF2-40B4-BE49-F238E27FC236}">
              <a16:creationId xmlns:a16="http://schemas.microsoft.com/office/drawing/2014/main" id="{024163A8-66C5-4D27-B668-F29E6078EEB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88" name="Text 3">
          <a:extLst>
            <a:ext uri="{FF2B5EF4-FFF2-40B4-BE49-F238E27FC236}">
              <a16:creationId xmlns:a16="http://schemas.microsoft.com/office/drawing/2014/main" id="{AE11B0C0-379C-41DA-8D9D-184A7699C9A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89" name="Text 3">
          <a:extLst>
            <a:ext uri="{FF2B5EF4-FFF2-40B4-BE49-F238E27FC236}">
              <a16:creationId xmlns:a16="http://schemas.microsoft.com/office/drawing/2014/main" id="{4C593D8C-9F54-4C9F-A289-A98E3777C1D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90" name="Text 3">
          <a:extLst>
            <a:ext uri="{FF2B5EF4-FFF2-40B4-BE49-F238E27FC236}">
              <a16:creationId xmlns:a16="http://schemas.microsoft.com/office/drawing/2014/main" id="{39045B11-6C08-49F1-A641-9AAC632C879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91" name="Text 3">
          <a:extLst>
            <a:ext uri="{FF2B5EF4-FFF2-40B4-BE49-F238E27FC236}">
              <a16:creationId xmlns:a16="http://schemas.microsoft.com/office/drawing/2014/main" id="{10B6CDEF-E71D-4781-9E19-7C554622236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92" name="Text 3">
          <a:extLst>
            <a:ext uri="{FF2B5EF4-FFF2-40B4-BE49-F238E27FC236}">
              <a16:creationId xmlns:a16="http://schemas.microsoft.com/office/drawing/2014/main" id="{4E24223A-7D46-488C-A6D8-491D3FE1A6B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93" name="Text 3">
          <a:extLst>
            <a:ext uri="{FF2B5EF4-FFF2-40B4-BE49-F238E27FC236}">
              <a16:creationId xmlns:a16="http://schemas.microsoft.com/office/drawing/2014/main" id="{7DC9A32D-A8C4-4431-AD28-AB87BF470FE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94" name="Text 3">
          <a:extLst>
            <a:ext uri="{FF2B5EF4-FFF2-40B4-BE49-F238E27FC236}">
              <a16:creationId xmlns:a16="http://schemas.microsoft.com/office/drawing/2014/main" id="{EDCE9F41-65F0-4675-89E2-F27FF896009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95" name="Text 3">
          <a:extLst>
            <a:ext uri="{FF2B5EF4-FFF2-40B4-BE49-F238E27FC236}">
              <a16:creationId xmlns:a16="http://schemas.microsoft.com/office/drawing/2014/main" id="{48F1387E-7FF6-4636-9F35-5199075FAD0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96" name="Text 3">
          <a:extLst>
            <a:ext uri="{FF2B5EF4-FFF2-40B4-BE49-F238E27FC236}">
              <a16:creationId xmlns:a16="http://schemas.microsoft.com/office/drawing/2014/main" id="{B1C8F8AF-0E58-4B44-81A6-CE0CDA15D56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97" name="Text 3">
          <a:extLst>
            <a:ext uri="{FF2B5EF4-FFF2-40B4-BE49-F238E27FC236}">
              <a16:creationId xmlns:a16="http://schemas.microsoft.com/office/drawing/2014/main" id="{096DD875-7DB8-47C3-AD34-F031016D952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98" name="Text 3">
          <a:extLst>
            <a:ext uri="{FF2B5EF4-FFF2-40B4-BE49-F238E27FC236}">
              <a16:creationId xmlns:a16="http://schemas.microsoft.com/office/drawing/2014/main" id="{71389E77-DE68-498E-8D2E-83A89ECFABF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99" name="Text 3">
          <a:extLst>
            <a:ext uri="{FF2B5EF4-FFF2-40B4-BE49-F238E27FC236}">
              <a16:creationId xmlns:a16="http://schemas.microsoft.com/office/drawing/2014/main" id="{4DFD254F-0B37-437A-9D4D-E166ADDDC69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00" name="Text 3">
          <a:extLst>
            <a:ext uri="{FF2B5EF4-FFF2-40B4-BE49-F238E27FC236}">
              <a16:creationId xmlns:a16="http://schemas.microsoft.com/office/drawing/2014/main" id="{170D6D3B-02E6-4196-94B0-F629BBFD795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01" name="Text 3">
          <a:extLst>
            <a:ext uri="{FF2B5EF4-FFF2-40B4-BE49-F238E27FC236}">
              <a16:creationId xmlns:a16="http://schemas.microsoft.com/office/drawing/2014/main" id="{CEAFCB6F-0F52-4C5F-A19F-4A140351B1B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02" name="Text 3">
          <a:extLst>
            <a:ext uri="{FF2B5EF4-FFF2-40B4-BE49-F238E27FC236}">
              <a16:creationId xmlns:a16="http://schemas.microsoft.com/office/drawing/2014/main" id="{960A80A8-E6DC-4705-97B4-968208486ED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03" name="Text 3">
          <a:extLst>
            <a:ext uri="{FF2B5EF4-FFF2-40B4-BE49-F238E27FC236}">
              <a16:creationId xmlns:a16="http://schemas.microsoft.com/office/drawing/2014/main" id="{97607421-F0EC-44E8-9042-09018630801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04" name="Text 3">
          <a:extLst>
            <a:ext uri="{FF2B5EF4-FFF2-40B4-BE49-F238E27FC236}">
              <a16:creationId xmlns:a16="http://schemas.microsoft.com/office/drawing/2014/main" id="{4DE5F851-928E-4004-93F8-0998999FCE9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05" name="Text 3">
          <a:extLst>
            <a:ext uri="{FF2B5EF4-FFF2-40B4-BE49-F238E27FC236}">
              <a16:creationId xmlns:a16="http://schemas.microsoft.com/office/drawing/2014/main" id="{7BFF4606-C0EC-48CE-999F-086D4808435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06" name="Text 3">
          <a:extLst>
            <a:ext uri="{FF2B5EF4-FFF2-40B4-BE49-F238E27FC236}">
              <a16:creationId xmlns:a16="http://schemas.microsoft.com/office/drawing/2014/main" id="{2BD5A2E2-F51E-45D2-B83A-8FEFA07D734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07" name="Text 3">
          <a:extLst>
            <a:ext uri="{FF2B5EF4-FFF2-40B4-BE49-F238E27FC236}">
              <a16:creationId xmlns:a16="http://schemas.microsoft.com/office/drawing/2014/main" id="{C8CE817B-907A-473A-AA04-679049EA3DA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08" name="Text 3">
          <a:extLst>
            <a:ext uri="{FF2B5EF4-FFF2-40B4-BE49-F238E27FC236}">
              <a16:creationId xmlns:a16="http://schemas.microsoft.com/office/drawing/2014/main" id="{B1D251AD-9C96-4675-B369-E99473E532B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09" name="Text 3">
          <a:extLst>
            <a:ext uri="{FF2B5EF4-FFF2-40B4-BE49-F238E27FC236}">
              <a16:creationId xmlns:a16="http://schemas.microsoft.com/office/drawing/2014/main" id="{0D32AFD1-010F-4710-BE91-D587D7A1DD2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10" name="Text 3">
          <a:extLst>
            <a:ext uri="{FF2B5EF4-FFF2-40B4-BE49-F238E27FC236}">
              <a16:creationId xmlns:a16="http://schemas.microsoft.com/office/drawing/2014/main" id="{7BD3272D-EBD7-491A-977F-6F514514329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11" name="Text 3">
          <a:extLst>
            <a:ext uri="{FF2B5EF4-FFF2-40B4-BE49-F238E27FC236}">
              <a16:creationId xmlns:a16="http://schemas.microsoft.com/office/drawing/2014/main" id="{41241D53-7978-4A70-88D9-7224BB88214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12" name="Text 3">
          <a:extLst>
            <a:ext uri="{FF2B5EF4-FFF2-40B4-BE49-F238E27FC236}">
              <a16:creationId xmlns:a16="http://schemas.microsoft.com/office/drawing/2014/main" id="{A1F9BFC1-2872-43F4-A304-1B0ADF7509E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13" name="Text 3">
          <a:extLst>
            <a:ext uri="{FF2B5EF4-FFF2-40B4-BE49-F238E27FC236}">
              <a16:creationId xmlns:a16="http://schemas.microsoft.com/office/drawing/2014/main" id="{1E4C7E6A-7091-4953-900E-37382E4CD41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14" name="Text 3">
          <a:extLst>
            <a:ext uri="{FF2B5EF4-FFF2-40B4-BE49-F238E27FC236}">
              <a16:creationId xmlns:a16="http://schemas.microsoft.com/office/drawing/2014/main" id="{4CA5D2E9-0F2F-4D6D-96C5-6AFC53B364F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15" name="Text 3">
          <a:extLst>
            <a:ext uri="{FF2B5EF4-FFF2-40B4-BE49-F238E27FC236}">
              <a16:creationId xmlns:a16="http://schemas.microsoft.com/office/drawing/2014/main" id="{34345AE8-9874-42CB-97DA-172E7976993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16" name="Text 3">
          <a:extLst>
            <a:ext uri="{FF2B5EF4-FFF2-40B4-BE49-F238E27FC236}">
              <a16:creationId xmlns:a16="http://schemas.microsoft.com/office/drawing/2014/main" id="{CE3184FE-376A-4F0A-9CAF-8D79B3B512B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17" name="Text 3">
          <a:extLst>
            <a:ext uri="{FF2B5EF4-FFF2-40B4-BE49-F238E27FC236}">
              <a16:creationId xmlns:a16="http://schemas.microsoft.com/office/drawing/2014/main" id="{535F0591-AAF3-48EB-853D-3C3B0B181EC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18" name="Text 3">
          <a:extLst>
            <a:ext uri="{FF2B5EF4-FFF2-40B4-BE49-F238E27FC236}">
              <a16:creationId xmlns:a16="http://schemas.microsoft.com/office/drawing/2014/main" id="{8C565F70-B70E-49A6-8285-BCA4BB97377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19" name="Text 3">
          <a:extLst>
            <a:ext uri="{FF2B5EF4-FFF2-40B4-BE49-F238E27FC236}">
              <a16:creationId xmlns:a16="http://schemas.microsoft.com/office/drawing/2014/main" id="{2AAE0B2C-02F3-447D-ABA8-1D957BBBCA3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20" name="Text 3">
          <a:extLst>
            <a:ext uri="{FF2B5EF4-FFF2-40B4-BE49-F238E27FC236}">
              <a16:creationId xmlns:a16="http://schemas.microsoft.com/office/drawing/2014/main" id="{7539F6C4-5E7D-424A-96D4-55D64E66BBF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21" name="Text 3">
          <a:extLst>
            <a:ext uri="{FF2B5EF4-FFF2-40B4-BE49-F238E27FC236}">
              <a16:creationId xmlns:a16="http://schemas.microsoft.com/office/drawing/2014/main" id="{D226F3DD-C8BE-4192-9480-0ABEB9E191F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22" name="Text 3">
          <a:extLst>
            <a:ext uri="{FF2B5EF4-FFF2-40B4-BE49-F238E27FC236}">
              <a16:creationId xmlns:a16="http://schemas.microsoft.com/office/drawing/2014/main" id="{D5D3D4A0-458B-44FB-8DB5-02335B76A9A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23" name="Text 3">
          <a:extLst>
            <a:ext uri="{FF2B5EF4-FFF2-40B4-BE49-F238E27FC236}">
              <a16:creationId xmlns:a16="http://schemas.microsoft.com/office/drawing/2014/main" id="{979E373C-A04C-41A8-BADB-06A5E461372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24" name="Text 3">
          <a:extLst>
            <a:ext uri="{FF2B5EF4-FFF2-40B4-BE49-F238E27FC236}">
              <a16:creationId xmlns:a16="http://schemas.microsoft.com/office/drawing/2014/main" id="{1FF185D3-05C0-450E-B26D-B849BF12B1C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25" name="Text 3">
          <a:extLst>
            <a:ext uri="{FF2B5EF4-FFF2-40B4-BE49-F238E27FC236}">
              <a16:creationId xmlns:a16="http://schemas.microsoft.com/office/drawing/2014/main" id="{01C7DF77-F814-428F-93CA-009BAC0FA28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26" name="Text 3">
          <a:extLst>
            <a:ext uri="{FF2B5EF4-FFF2-40B4-BE49-F238E27FC236}">
              <a16:creationId xmlns:a16="http://schemas.microsoft.com/office/drawing/2014/main" id="{65677917-6C43-4A84-A416-BAB132ED156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27" name="Text 3">
          <a:extLst>
            <a:ext uri="{FF2B5EF4-FFF2-40B4-BE49-F238E27FC236}">
              <a16:creationId xmlns:a16="http://schemas.microsoft.com/office/drawing/2014/main" id="{3D769DCC-CADB-4F34-84C2-4FB44B2257F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28" name="Text 3">
          <a:extLst>
            <a:ext uri="{FF2B5EF4-FFF2-40B4-BE49-F238E27FC236}">
              <a16:creationId xmlns:a16="http://schemas.microsoft.com/office/drawing/2014/main" id="{D113D31C-6DAF-4A12-867B-FFECA85A4F1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29" name="Text 3">
          <a:extLst>
            <a:ext uri="{FF2B5EF4-FFF2-40B4-BE49-F238E27FC236}">
              <a16:creationId xmlns:a16="http://schemas.microsoft.com/office/drawing/2014/main" id="{58A7DDF2-1024-4C5F-B5B0-A619EB44185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30" name="Text 3">
          <a:extLst>
            <a:ext uri="{FF2B5EF4-FFF2-40B4-BE49-F238E27FC236}">
              <a16:creationId xmlns:a16="http://schemas.microsoft.com/office/drawing/2014/main" id="{4E8CC940-B9F5-4AFA-A275-09FD6ED7998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31" name="Text 3">
          <a:extLst>
            <a:ext uri="{FF2B5EF4-FFF2-40B4-BE49-F238E27FC236}">
              <a16:creationId xmlns:a16="http://schemas.microsoft.com/office/drawing/2014/main" id="{5D9D7829-5281-444E-AB04-340395063CD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32" name="Text 3">
          <a:extLst>
            <a:ext uri="{FF2B5EF4-FFF2-40B4-BE49-F238E27FC236}">
              <a16:creationId xmlns:a16="http://schemas.microsoft.com/office/drawing/2014/main" id="{46740290-5F90-481E-B2C0-97E4D934C99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33" name="Text 3">
          <a:extLst>
            <a:ext uri="{FF2B5EF4-FFF2-40B4-BE49-F238E27FC236}">
              <a16:creationId xmlns:a16="http://schemas.microsoft.com/office/drawing/2014/main" id="{3E02725E-3666-4D60-BF54-F09E458C45B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34" name="Text 3">
          <a:extLst>
            <a:ext uri="{FF2B5EF4-FFF2-40B4-BE49-F238E27FC236}">
              <a16:creationId xmlns:a16="http://schemas.microsoft.com/office/drawing/2014/main" id="{FCB32537-9C11-458A-B97D-FF47F4A893F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35" name="Text 3">
          <a:extLst>
            <a:ext uri="{FF2B5EF4-FFF2-40B4-BE49-F238E27FC236}">
              <a16:creationId xmlns:a16="http://schemas.microsoft.com/office/drawing/2014/main" id="{E782A021-29E9-4EAD-8D14-5AB2A4CAAE8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36" name="Text 3">
          <a:extLst>
            <a:ext uri="{FF2B5EF4-FFF2-40B4-BE49-F238E27FC236}">
              <a16:creationId xmlns:a16="http://schemas.microsoft.com/office/drawing/2014/main" id="{28DD9CC9-6061-415E-ADFA-5A527E5AB71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37" name="Text 3">
          <a:extLst>
            <a:ext uri="{FF2B5EF4-FFF2-40B4-BE49-F238E27FC236}">
              <a16:creationId xmlns:a16="http://schemas.microsoft.com/office/drawing/2014/main" id="{C8659A25-39A4-45AC-8B4F-1E0CF62B156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38" name="Text 3">
          <a:extLst>
            <a:ext uri="{FF2B5EF4-FFF2-40B4-BE49-F238E27FC236}">
              <a16:creationId xmlns:a16="http://schemas.microsoft.com/office/drawing/2014/main" id="{552C82FD-D1A7-4CF3-A12C-783880BC729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39" name="Text 3">
          <a:extLst>
            <a:ext uri="{FF2B5EF4-FFF2-40B4-BE49-F238E27FC236}">
              <a16:creationId xmlns:a16="http://schemas.microsoft.com/office/drawing/2014/main" id="{3E93C311-AD81-4F9A-8836-B30A053A8BF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40" name="Text 3">
          <a:extLst>
            <a:ext uri="{FF2B5EF4-FFF2-40B4-BE49-F238E27FC236}">
              <a16:creationId xmlns:a16="http://schemas.microsoft.com/office/drawing/2014/main" id="{6906A059-FA71-47CE-B558-CDA5BF73C34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41" name="Text 3">
          <a:extLst>
            <a:ext uri="{FF2B5EF4-FFF2-40B4-BE49-F238E27FC236}">
              <a16:creationId xmlns:a16="http://schemas.microsoft.com/office/drawing/2014/main" id="{5B3734F1-D5F7-449A-A66B-F53DA6F5396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42" name="Text 3">
          <a:extLst>
            <a:ext uri="{FF2B5EF4-FFF2-40B4-BE49-F238E27FC236}">
              <a16:creationId xmlns:a16="http://schemas.microsoft.com/office/drawing/2014/main" id="{BCE67809-7D45-42C2-B502-6A75442BEFF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43" name="Text 3">
          <a:extLst>
            <a:ext uri="{FF2B5EF4-FFF2-40B4-BE49-F238E27FC236}">
              <a16:creationId xmlns:a16="http://schemas.microsoft.com/office/drawing/2014/main" id="{B2429F06-002E-43CA-A493-A7E3C4F2C86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44" name="Text 3">
          <a:extLst>
            <a:ext uri="{FF2B5EF4-FFF2-40B4-BE49-F238E27FC236}">
              <a16:creationId xmlns:a16="http://schemas.microsoft.com/office/drawing/2014/main" id="{C8D4B73A-495A-4288-A35D-B033C82ED6C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45" name="Text 3">
          <a:extLst>
            <a:ext uri="{FF2B5EF4-FFF2-40B4-BE49-F238E27FC236}">
              <a16:creationId xmlns:a16="http://schemas.microsoft.com/office/drawing/2014/main" id="{55C37C38-9349-43CA-8A98-5332120DD8A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46" name="Text 3">
          <a:extLst>
            <a:ext uri="{FF2B5EF4-FFF2-40B4-BE49-F238E27FC236}">
              <a16:creationId xmlns:a16="http://schemas.microsoft.com/office/drawing/2014/main" id="{D98B4A54-4E5C-4F0B-B4C6-59A15F3C429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47" name="Text 3">
          <a:extLst>
            <a:ext uri="{FF2B5EF4-FFF2-40B4-BE49-F238E27FC236}">
              <a16:creationId xmlns:a16="http://schemas.microsoft.com/office/drawing/2014/main" id="{654341E3-C5DC-4061-9600-995952978CA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48" name="Text 3">
          <a:extLst>
            <a:ext uri="{FF2B5EF4-FFF2-40B4-BE49-F238E27FC236}">
              <a16:creationId xmlns:a16="http://schemas.microsoft.com/office/drawing/2014/main" id="{3D9D45B5-BBC0-4AAD-AA45-FCAB70BD01F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49" name="Text 3">
          <a:extLst>
            <a:ext uri="{FF2B5EF4-FFF2-40B4-BE49-F238E27FC236}">
              <a16:creationId xmlns:a16="http://schemas.microsoft.com/office/drawing/2014/main" id="{C3BC561E-9B34-44B9-A723-25EACB42552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50" name="Text 3">
          <a:extLst>
            <a:ext uri="{FF2B5EF4-FFF2-40B4-BE49-F238E27FC236}">
              <a16:creationId xmlns:a16="http://schemas.microsoft.com/office/drawing/2014/main" id="{D2EE947C-4225-4148-9D78-FCCCA676E29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51" name="Text 3">
          <a:extLst>
            <a:ext uri="{FF2B5EF4-FFF2-40B4-BE49-F238E27FC236}">
              <a16:creationId xmlns:a16="http://schemas.microsoft.com/office/drawing/2014/main" id="{F8DB3A86-90BA-4FE6-90E1-16DA1B46A1A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52" name="Text 3">
          <a:extLst>
            <a:ext uri="{FF2B5EF4-FFF2-40B4-BE49-F238E27FC236}">
              <a16:creationId xmlns:a16="http://schemas.microsoft.com/office/drawing/2014/main" id="{60727B94-2842-4698-9F15-BB47C0F23D5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53" name="Text 3">
          <a:extLst>
            <a:ext uri="{FF2B5EF4-FFF2-40B4-BE49-F238E27FC236}">
              <a16:creationId xmlns:a16="http://schemas.microsoft.com/office/drawing/2014/main" id="{42EE3D7B-608E-49A0-B1AF-C31695D33C7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54" name="Text 3">
          <a:extLst>
            <a:ext uri="{FF2B5EF4-FFF2-40B4-BE49-F238E27FC236}">
              <a16:creationId xmlns:a16="http://schemas.microsoft.com/office/drawing/2014/main" id="{7448025A-4F4C-49F2-97AF-8DAD3F8941A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55" name="Text 3">
          <a:extLst>
            <a:ext uri="{FF2B5EF4-FFF2-40B4-BE49-F238E27FC236}">
              <a16:creationId xmlns:a16="http://schemas.microsoft.com/office/drawing/2014/main" id="{CB33EBB2-409B-4F7E-A5DB-7D6879E781B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56" name="Text 3">
          <a:extLst>
            <a:ext uri="{FF2B5EF4-FFF2-40B4-BE49-F238E27FC236}">
              <a16:creationId xmlns:a16="http://schemas.microsoft.com/office/drawing/2014/main" id="{2E9C66FF-97A5-4079-B45D-2AEDAD7B641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57" name="Text 3">
          <a:extLst>
            <a:ext uri="{FF2B5EF4-FFF2-40B4-BE49-F238E27FC236}">
              <a16:creationId xmlns:a16="http://schemas.microsoft.com/office/drawing/2014/main" id="{96B1C306-5FEE-4488-92FD-E30B93F1BED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58" name="Text 3">
          <a:extLst>
            <a:ext uri="{FF2B5EF4-FFF2-40B4-BE49-F238E27FC236}">
              <a16:creationId xmlns:a16="http://schemas.microsoft.com/office/drawing/2014/main" id="{369E2E11-81EE-4E6B-B7EF-19557DBA6DC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59" name="Text 3">
          <a:extLst>
            <a:ext uri="{FF2B5EF4-FFF2-40B4-BE49-F238E27FC236}">
              <a16:creationId xmlns:a16="http://schemas.microsoft.com/office/drawing/2014/main" id="{1D650C77-441A-44EA-8C65-574BE65FCEC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60" name="Text 3">
          <a:extLst>
            <a:ext uri="{FF2B5EF4-FFF2-40B4-BE49-F238E27FC236}">
              <a16:creationId xmlns:a16="http://schemas.microsoft.com/office/drawing/2014/main" id="{83024155-0441-4E72-A48D-CD44D6CB651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61" name="Text 3">
          <a:extLst>
            <a:ext uri="{FF2B5EF4-FFF2-40B4-BE49-F238E27FC236}">
              <a16:creationId xmlns:a16="http://schemas.microsoft.com/office/drawing/2014/main" id="{291D3C70-848E-479B-B47F-204E3CB3676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62" name="Text 3">
          <a:extLst>
            <a:ext uri="{FF2B5EF4-FFF2-40B4-BE49-F238E27FC236}">
              <a16:creationId xmlns:a16="http://schemas.microsoft.com/office/drawing/2014/main" id="{E4475259-64B1-43C3-A5F4-779A46240E6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63" name="Text 3">
          <a:extLst>
            <a:ext uri="{FF2B5EF4-FFF2-40B4-BE49-F238E27FC236}">
              <a16:creationId xmlns:a16="http://schemas.microsoft.com/office/drawing/2014/main" id="{EC372BA8-8278-49E9-9D34-C1ABA8F7D70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64" name="Text 3">
          <a:extLst>
            <a:ext uri="{FF2B5EF4-FFF2-40B4-BE49-F238E27FC236}">
              <a16:creationId xmlns:a16="http://schemas.microsoft.com/office/drawing/2014/main" id="{49C31A9E-55B2-42CF-AC46-4A72E84ABF6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65" name="Text 3">
          <a:extLst>
            <a:ext uri="{FF2B5EF4-FFF2-40B4-BE49-F238E27FC236}">
              <a16:creationId xmlns:a16="http://schemas.microsoft.com/office/drawing/2014/main" id="{6D04230D-738F-41D9-ABCF-0819898D437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66" name="Text 3">
          <a:extLst>
            <a:ext uri="{FF2B5EF4-FFF2-40B4-BE49-F238E27FC236}">
              <a16:creationId xmlns:a16="http://schemas.microsoft.com/office/drawing/2014/main" id="{36256C5D-1C35-47E6-A1C2-2C57B185525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67" name="Text 3">
          <a:extLst>
            <a:ext uri="{FF2B5EF4-FFF2-40B4-BE49-F238E27FC236}">
              <a16:creationId xmlns:a16="http://schemas.microsoft.com/office/drawing/2014/main" id="{73542237-3E1C-4D33-AE14-8912444DB1D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68" name="Text 3">
          <a:extLst>
            <a:ext uri="{FF2B5EF4-FFF2-40B4-BE49-F238E27FC236}">
              <a16:creationId xmlns:a16="http://schemas.microsoft.com/office/drawing/2014/main" id="{FC931F2B-5055-411F-9E10-546E0FA3758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69" name="Text 3">
          <a:extLst>
            <a:ext uri="{FF2B5EF4-FFF2-40B4-BE49-F238E27FC236}">
              <a16:creationId xmlns:a16="http://schemas.microsoft.com/office/drawing/2014/main" id="{F726E188-5B11-4AD7-B3FA-6E7EEE93001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70" name="Text 3">
          <a:extLst>
            <a:ext uri="{FF2B5EF4-FFF2-40B4-BE49-F238E27FC236}">
              <a16:creationId xmlns:a16="http://schemas.microsoft.com/office/drawing/2014/main" id="{B0B77B18-84F2-4615-8465-15B3E63FF4F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71" name="Text 3">
          <a:extLst>
            <a:ext uri="{FF2B5EF4-FFF2-40B4-BE49-F238E27FC236}">
              <a16:creationId xmlns:a16="http://schemas.microsoft.com/office/drawing/2014/main" id="{C50BAB72-9177-4C55-B964-7D984F0D507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72" name="Text 3">
          <a:extLst>
            <a:ext uri="{FF2B5EF4-FFF2-40B4-BE49-F238E27FC236}">
              <a16:creationId xmlns:a16="http://schemas.microsoft.com/office/drawing/2014/main" id="{BDE8A2CA-12D5-419D-8FCC-EC1ED28E154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73" name="Text 3">
          <a:extLst>
            <a:ext uri="{FF2B5EF4-FFF2-40B4-BE49-F238E27FC236}">
              <a16:creationId xmlns:a16="http://schemas.microsoft.com/office/drawing/2014/main" id="{055EDB76-1F73-4184-930D-AE56BF5053C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74" name="Text 3">
          <a:extLst>
            <a:ext uri="{FF2B5EF4-FFF2-40B4-BE49-F238E27FC236}">
              <a16:creationId xmlns:a16="http://schemas.microsoft.com/office/drawing/2014/main" id="{7B9D16DC-96D1-416C-BA3E-6B107B738B4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75" name="Text 3">
          <a:extLst>
            <a:ext uri="{FF2B5EF4-FFF2-40B4-BE49-F238E27FC236}">
              <a16:creationId xmlns:a16="http://schemas.microsoft.com/office/drawing/2014/main" id="{05F67F74-C8A9-46ED-80CA-1B9E462BF9A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76" name="Text 3">
          <a:extLst>
            <a:ext uri="{FF2B5EF4-FFF2-40B4-BE49-F238E27FC236}">
              <a16:creationId xmlns:a16="http://schemas.microsoft.com/office/drawing/2014/main" id="{169E8E8D-9EA4-446E-A697-087CAF60D16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77" name="Text 3">
          <a:extLst>
            <a:ext uri="{FF2B5EF4-FFF2-40B4-BE49-F238E27FC236}">
              <a16:creationId xmlns:a16="http://schemas.microsoft.com/office/drawing/2014/main" id="{3C634EFF-4A76-4A46-AC3B-49B01AB7A9A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78" name="Text 3">
          <a:extLst>
            <a:ext uri="{FF2B5EF4-FFF2-40B4-BE49-F238E27FC236}">
              <a16:creationId xmlns:a16="http://schemas.microsoft.com/office/drawing/2014/main" id="{8C7DC92A-F302-48E9-A5E8-F008C65CDF7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79" name="Text 3">
          <a:extLst>
            <a:ext uri="{FF2B5EF4-FFF2-40B4-BE49-F238E27FC236}">
              <a16:creationId xmlns:a16="http://schemas.microsoft.com/office/drawing/2014/main" id="{D1FE4E77-EDB4-41C0-9ECA-6FD4C71D8D7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80" name="Text 3">
          <a:extLst>
            <a:ext uri="{FF2B5EF4-FFF2-40B4-BE49-F238E27FC236}">
              <a16:creationId xmlns:a16="http://schemas.microsoft.com/office/drawing/2014/main" id="{E14024A7-FA07-4F48-AD90-48E9628003E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81" name="Text 3">
          <a:extLst>
            <a:ext uri="{FF2B5EF4-FFF2-40B4-BE49-F238E27FC236}">
              <a16:creationId xmlns:a16="http://schemas.microsoft.com/office/drawing/2014/main" id="{B3E366FA-0C12-445C-8824-E3A62DEB673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82" name="Text 3">
          <a:extLst>
            <a:ext uri="{FF2B5EF4-FFF2-40B4-BE49-F238E27FC236}">
              <a16:creationId xmlns:a16="http://schemas.microsoft.com/office/drawing/2014/main" id="{EE7FF61E-89DB-4146-87D7-98AB8F0C56D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83" name="Text 3">
          <a:extLst>
            <a:ext uri="{FF2B5EF4-FFF2-40B4-BE49-F238E27FC236}">
              <a16:creationId xmlns:a16="http://schemas.microsoft.com/office/drawing/2014/main" id="{4B1E78E2-A855-492E-8658-4E4CF58C18A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84" name="Text 3">
          <a:extLst>
            <a:ext uri="{FF2B5EF4-FFF2-40B4-BE49-F238E27FC236}">
              <a16:creationId xmlns:a16="http://schemas.microsoft.com/office/drawing/2014/main" id="{4AA82571-4E96-4A61-9FBE-6F76D5CB8D6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85" name="Text 3">
          <a:extLst>
            <a:ext uri="{FF2B5EF4-FFF2-40B4-BE49-F238E27FC236}">
              <a16:creationId xmlns:a16="http://schemas.microsoft.com/office/drawing/2014/main" id="{5CF5DD9A-D137-431A-8D8E-55357BF59FC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86" name="Text 3">
          <a:extLst>
            <a:ext uri="{FF2B5EF4-FFF2-40B4-BE49-F238E27FC236}">
              <a16:creationId xmlns:a16="http://schemas.microsoft.com/office/drawing/2014/main" id="{4F4FDCC6-2AB1-4C44-8A2C-C8A14CF6C1D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87" name="Text 3">
          <a:extLst>
            <a:ext uri="{FF2B5EF4-FFF2-40B4-BE49-F238E27FC236}">
              <a16:creationId xmlns:a16="http://schemas.microsoft.com/office/drawing/2014/main" id="{7A8734FB-79D6-4608-B0B1-5C4F2263032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88" name="Text 3">
          <a:extLst>
            <a:ext uri="{FF2B5EF4-FFF2-40B4-BE49-F238E27FC236}">
              <a16:creationId xmlns:a16="http://schemas.microsoft.com/office/drawing/2014/main" id="{B36E22CB-7A26-45D4-9A16-6DE5DEB553C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89" name="Text 3">
          <a:extLst>
            <a:ext uri="{FF2B5EF4-FFF2-40B4-BE49-F238E27FC236}">
              <a16:creationId xmlns:a16="http://schemas.microsoft.com/office/drawing/2014/main" id="{B407D016-E514-4FDC-BF0B-67F1C3FFF76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90" name="Text 3">
          <a:extLst>
            <a:ext uri="{FF2B5EF4-FFF2-40B4-BE49-F238E27FC236}">
              <a16:creationId xmlns:a16="http://schemas.microsoft.com/office/drawing/2014/main" id="{8C2785B6-792F-4DC7-8D51-C3F11A16A2C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91" name="Text 3">
          <a:extLst>
            <a:ext uri="{FF2B5EF4-FFF2-40B4-BE49-F238E27FC236}">
              <a16:creationId xmlns:a16="http://schemas.microsoft.com/office/drawing/2014/main" id="{EDC6C4CD-D3A9-4416-8ED2-CA806F69735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92" name="Text 3">
          <a:extLst>
            <a:ext uri="{FF2B5EF4-FFF2-40B4-BE49-F238E27FC236}">
              <a16:creationId xmlns:a16="http://schemas.microsoft.com/office/drawing/2014/main" id="{04E1C41D-BA97-4E2D-AC89-DA6AA55C6C5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93" name="Text 3">
          <a:extLst>
            <a:ext uri="{FF2B5EF4-FFF2-40B4-BE49-F238E27FC236}">
              <a16:creationId xmlns:a16="http://schemas.microsoft.com/office/drawing/2014/main" id="{BA387E09-F0C2-432E-A4D5-45706279AAE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94" name="Text 3">
          <a:extLst>
            <a:ext uri="{FF2B5EF4-FFF2-40B4-BE49-F238E27FC236}">
              <a16:creationId xmlns:a16="http://schemas.microsoft.com/office/drawing/2014/main" id="{E64041B5-5614-4F52-8E25-6DB29404F41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95" name="Text 3">
          <a:extLst>
            <a:ext uri="{FF2B5EF4-FFF2-40B4-BE49-F238E27FC236}">
              <a16:creationId xmlns:a16="http://schemas.microsoft.com/office/drawing/2014/main" id="{8975230F-EB63-4381-BECF-68528EF865D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96" name="Text 3">
          <a:extLst>
            <a:ext uri="{FF2B5EF4-FFF2-40B4-BE49-F238E27FC236}">
              <a16:creationId xmlns:a16="http://schemas.microsoft.com/office/drawing/2014/main" id="{85003EC5-97BA-4114-87DD-5718759DD66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97" name="Text 3">
          <a:extLst>
            <a:ext uri="{FF2B5EF4-FFF2-40B4-BE49-F238E27FC236}">
              <a16:creationId xmlns:a16="http://schemas.microsoft.com/office/drawing/2014/main" id="{B1027795-9E1D-4BD1-8363-B3E948BEB19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98" name="Text 3">
          <a:extLst>
            <a:ext uri="{FF2B5EF4-FFF2-40B4-BE49-F238E27FC236}">
              <a16:creationId xmlns:a16="http://schemas.microsoft.com/office/drawing/2014/main" id="{36EE5EE7-0BC1-4668-BEF1-20EA0B187BD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99" name="Text 3">
          <a:extLst>
            <a:ext uri="{FF2B5EF4-FFF2-40B4-BE49-F238E27FC236}">
              <a16:creationId xmlns:a16="http://schemas.microsoft.com/office/drawing/2014/main" id="{5A00267D-9BB9-499E-BE25-B0716977116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00" name="Text 3">
          <a:extLst>
            <a:ext uri="{FF2B5EF4-FFF2-40B4-BE49-F238E27FC236}">
              <a16:creationId xmlns:a16="http://schemas.microsoft.com/office/drawing/2014/main" id="{862B50EA-8E47-4C96-8658-D77BB60A669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01" name="Text 3">
          <a:extLst>
            <a:ext uri="{FF2B5EF4-FFF2-40B4-BE49-F238E27FC236}">
              <a16:creationId xmlns:a16="http://schemas.microsoft.com/office/drawing/2014/main" id="{A411DF94-E282-4400-AA3E-ACB51C93622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02" name="Text 3">
          <a:extLst>
            <a:ext uri="{FF2B5EF4-FFF2-40B4-BE49-F238E27FC236}">
              <a16:creationId xmlns:a16="http://schemas.microsoft.com/office/drawing/2014/main" id="{F87629A2-CD79-4FA1-BEFC-6E39BED6868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03" name="Text 3">
          <a:extLst>
            <a:ext uri="{FF2B5EF4-FFF2-40B4-BE49-F238E27FC236}">
              <a16:creationId xmlns:a16="http://schemas.microsoft.com/office/drawing/2014/main" id="{A33C38EB-C574-4507-8454-17CFF0CEF9E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04" name="Text 3">
          <a:extLst>
            <a:ext uri="{FF2B5EF4-FFF2-40B4-BE49-F238E27FC236}">
              <a16:creationId xmlns:a16="http://schemas.microsoft.com/office/drawing/2014/main" id="{E34F9A25-54FB-41CC-A66E-DAC7FF49F63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05" name="Text 3">
          <a:extLst>
            <a:ext uri="{FF2B5EF4-FFF2-40B4-BE49-F238E27FC236}">
              <a16:creationId xmlns:a16="http://schemas.microsoft.com/office/drawing/2014/main" id="{127A7D14-A309-4C65-A50F-7BB9AF38D20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06" name="Text 3">
          <a:extLst>
            <a:ext uri="{FF2B5EF4-FFF2-40B4-BE49-F238E27FC236}">
              <a16:creationId xmlns:a16="http://schemas.microsoft.com/office/drawing/2014/main" id="{597EFC07-8E3B-4BDE-86A2-93DFC5D916A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07" name="Text 3">
          <a:extLst>
            <a:ext uri="{FF2B5EF4-FFF2-40B4-BE49-F238E27FC236}">
              <a16:creationId xmlns:a16="http://schemas.microsoft.com/office/drawing/2014/main" id="{4F8BDD13-4CAD-4D2A-90E5-A9C066EFAE4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08" name="Text 3">
          <a:extLst>
            <a:ext uri="{FF2B5EF4-FFF2-40B4-BE49-F238E27FC236}">
              <a16:creationId xmlns:a16="http://schemas.microsoft.com/office/drawing/2014/main" id="{9E59DA33-C180-4C7C-958C-66F963BC2FD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09" name="Text 3">
          <a:extLst>
            <a:ext uri="{FF2B5EF4-FFF2-40B4-BE49-F238E27FC236}">
              <a16:creationId xmlns:a16="http://schemas.microsoft.com/office/drawing/2014/main" id="{00EEA9CD-C3BF-4241-82AA-5FCD87038EE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10" name="Text 3">
          <a:extLst>
            <a:ext uri="{FF2B5EF4-FFF2-40B4-BE49-F238E27FC236}">
              <a16:creationId xmlns:a16="http://schemas.microsoft.com/office/drawing/2014/main" id="{AF34CCF3-2FCA-49BC-8BAC-34A9F79E72C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11" name="Text 3">
          <a:extLst>
            <a:ext uri="{FF2B5EF4-FFF2-40B4-BE49-F238E27FC236}">
              <a16:creationId xmlns:a16="http://schemas.microsoft.com/office/drawing/2014/main" id="{7B351965-3041-44E0-B2E5-199E437C838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12" name="Text 3">
          <a:extLst>
            <a:ext uri="{FF2B5EF4-FFF2-40B4-BE49-F238E27FC236}">
              <a16:creationId xmlns:a16="http://schemas.microsoft.com/office/drawing/2014/main" id="{C42A0A0F-8AD6-4767-A7BD-04547D53D9C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13" name="Text 3">
          <a:extLst>
            <a:ext uri="{FF2B5EF4-FFF2-40B4-BE49-F238E27FC236}">
              <a16:creationId xmlns:a16="http://schemas.microsoft.com/office/drawing/2014/main" id="{5C532E62-AEFE-48A7-85CE-C35743ACF53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14" name="Text 3">
          <a:extLst>
            <a:ext uri="{FF2B5EF4-FFF2-40B4-BE49-F238E27FC236}">
              <a16:creationId xmlns:a16="http://schemas.microsoft.com/office/drawing/2014/main" id="{F8BCD413-CFA8-4542-9102-D634C79AF0D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15" name="Text 3">
          <a:extLst>
            <a:ext uri="{FF2B5EF4-FFF2-40B4-BE49-F238E27FC236}">
              <a16:creationId xmlns:a16="http://schemas.microsoft.com/office/drawing/2014/main" id="{1BCAE2CB-2881-4FEA-8094-4BD0BCB6D80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16" name="Text 3">
          <a:extLst>
            <a:ext uri="{FF2B5EF4-FFF2-40B4-BE49-F238E27FC236}">
              <a16:creationId xmlns:a16="http://schemas.microsoft.com/office/drawing/2014/main" id="{B00E9591-A6C8-4D96-8DEA-59E2F05992B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17" name="Text 3">
          <a:extLst>
            <a:ext uri="{FF2B5EF4-FFF2-40B4-BE49-F238E27FC236}">
              <a16:creationId xmlns:a16="http://schemas.microsoft.com/office/drawing/2014/main" id="{8B5ABE6E-BB14-46BB-A4D3-F7676244FB8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18" name="Text 3">
          <a:extLst>
            <a:ext uri="{FF2B5EF4-FFF2-40B4-BE49-F238E27FC236}">
              <a16:creationId xmlns:a16="http://schemas.microsoft.com/office/drawing/2014/main" id="{96978E16-B634-4C9C-9CE4-2ECC903AF73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19" name="Text 3">
          <a:extLst>
            <a:ext uri="{FF2B5EF4-FFF2-40B4-BE49-F238E27FC236}">
              <a16:creationId xmlns:a16="http://schemas.microsoft.com/office/drawing/2014/main" id="{71CE0CD5-E00F-4D28-A692-CA15DFAD36E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20" name="Text 3">
          <a:extLst>
            <a:ext uri="{FF2B5EF4-FFF2-40B4-BE49-F238E27FC236}">
              <a16:creationId xmlns:a16="http://schemas.microsoft.com/office/drawing/2014/main" id="{FDC5E3EE-3240-44C5-9B45-AC4FEC18845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21" name="Text 3">
          <a:extLst>
            <a:ext uri="{FF2B5EF4-FFF2-40B4-BE49-F238E27FC236}">
              <a16:creationId xmlns:a16="http://schemas.microsoft.com/office/drawing/2014/main" id="{8106DFD0-F387-4565-A0CC-DB7B6101291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22" name="Text 3">
          <a:extLst>
            <a:ext uri="{FF2B5EF4-FFF2-40B4-BE49-F238E27FC236}">
              <a16:creationId xmlns:a16="http://schemas.microsoft.com/office/drawing/2014/main" id="{D270A4B0-0F19-48B3-B2ED-0E9007A893E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23" name="Text 3">
          <a:extLst>
            <a:ext uri="{FF2B5EF4-FFF2-40B4-BE49-F238E27FC236}">
              <a16:creationId xmlns:a16="http://schemas.microsoft.com/office/drawing/2014/main" id="{78B92C88-1A9B-4018-8FCB-9512F873CB7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24" name="Text 3">
          <a:extLst>
            <a:ext uri="{FF2B5EF4-FFF2-40B4-BE49-F238E27FC236}">
              <a16:creationId xmlns:a16="http://schemas.microsoft.com/office/drawing/2014/main" id="{91C8E998-E778-433C-A8F5-65D458EBDF2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25" name="Text 3">
          <a:extLst>
            <a:ext uri="{FF2B5EF4-FFF2-40B4-BE49-F238E27FC236}">
              <a16:creationId xmlns:a16="http://schemas.microsoft.com/office/drawing/2014/main" id="{65CDB334-6B9F-4B9B-964F-8AA8956B4FF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26" name="Text 3">
          <a:extLst>
            <a:ext uri="{FF2B5EF4-FFF2-40B4-BE49-F238E27FC236}">
              <a16:creationId xmlns:a16="http://schemas.microsoft.com/office/drawing/2014/main" id="{1A66B466-3FFF-4C54-B28B-1B967E1934D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27" name="Text 3">
          <a:extLst>
            <a:ext uri="{FF2B5EF4-FFF2-40B4-BE49-F238E27FC236}">
              <a16:creationId xmlns:a16="http://schemas.microsoft.com/office/drawing/2014/main" id="{7A733AFE-0823-457C-B06A-75A0632247F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28" name="Text 3">
          <a:extLst>
            <a:ext uri="{FF2B5EF4-FFF2-40B4-BE49-F238E27FC236}">
              <a16:creationId xmlns:a16="http://schemas.microsoft.com/office/drawing/2014/main" id="{7C0F663E-71C3-4CCD-9D12-D8B337C0659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29" name="Text 3">
          <a:extLst>
            <a:ext uri="{FF2B5EF4-FFF2-40B4-BE49-F238E27FC236}">
              <a16:creationId xmlns:a16="http://schemas.microsoft.com/office/drawing/2014/main" id="{296F080E-731B-4330-BC2E-AB7650467F8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30" name="Text 3">
          <a:extLst>
            <a:ext uri="{FF2B5EF4-FFF2-40B4-BE49-F238E27FC236}">
              <a16:creationId xmlns:a16="http://schemas.microsoft.com/office/drawing/2014/main" id="{5FD491DB-748B-48B7-BC04-F81ADD4CD9B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31" name="Text 3">
          <a:extLst>
            <a:ext uri="{FF2B5EF4-FFF2-40B4-BE49-F238E27FC236}">
              <a16:creationId xmlns:a16="http://schemas.microsoft.com/office/drawing/2014/main" id="{EB6D6545-E0F7-4D88-A84F-5557BDDB72B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32" name="Text 3">
          <a:extLst>
            <a:ext uri="{FF2B5EF4-FFF2-40B4-BE49-F238E27FC236}">
              <a16:creationId xmlns:a16="http://schemas.microsoft.com/office/drawing/2014/main" id="{C31F9682-9A34-4865-8A24-2E805DCB981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33" name="Text 3">
          <a:extLst>
            <a:ext uri="{FF2B5EF4-FFF2-40B4-BE49-F238E27FC236}">
              <a16:creationId xmlns:a16="http://schemas.microsoft.com/office/drawing/2014/main" id="{E8451CD8-76CC-4D39-A4C3-0C2642B6D71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34" name="Text 3">
          <a:extLst>
            <a:ext uri="{FF2B5EF4-FFF2-40B4-BE49-F238E27FC236}">
              <a16:creationId xmlns:a16="http://schemas.microsoft.com/office/drawing/2014/main" id="{50174999-667B-4A70-864B-37F4F18CED4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35" name="Text 3">
          <a:extLst>
            <a:ext uri="{FF2B5EF4-FFF2-40B4-BE49-F238E27FC236}">
              <a16:creationId xmlns:a16="http://schemas.microsoft.com/office/drawing/2014/main" id="{960374F3-ABD2-4BAD-9BA5-04438BE24F8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36" name="Text 3">
          <a:extLst>
            <a:ext uri="{FF2B5EF4-FFF2-40B4-BE49-F238E27FC236}">
              <a16:creationId xmlns:a16="http://schemas.microsoft.com/office/drawing/2014/main" id="{55463035-07E7-407D-B8D4-26F678EA77F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37" name="Text 3">
          <a:extLst>
            <a:ext uri="{FF2B5EF4-FFF2-40B4-BE49-F238E27FC236}">
              <a16:creationId xmlns:a16="http://schemas.microsoft.com/office/drawing/2014/main" id="{80E19013-6B57-4CAA-B35B-024A1D80676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38" name="Text 3">
          <a:extLst>
            <a:ext uri="{FF2B5EF4-FFF2-40B4-BE49-F238E27FC236}">
              <a16:creationId xmlns:a16="http://schemas.microsoft.com/office/drawing/2014/main" id="{252CC84D-40AB-4F52-85D0-2F80E9F89D1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39" name="Text 3">
          <a:extLst>
            <a:ext uri="{FF2B5EF4-FFF2-40B4-BE49-F238E27FC236}">
              <a16:creationId xmlns:a16="http://schemas.microsoft.com/office/drawing/2014/main" id="{8D233B0E-EFAF-496C-BDFA-8992D4FD7C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40" name="Text 3">
          <a:extLst>
            <a:ext uri="{FF2B5EF4-FFF2-40B4-BE49-F238E27FC236}">
              <a16:creationId xmlns:a16="http://schemas.microsoft.com/office/drawing/2014/main" id="{FA2FF0E1-1BA0-47BD-8A28-E95CDAFD836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41" name="Text 3">
          <a:extLst>
            <a:ext uri="{FF2B5EF4-FFF2-40B4-BE49-F238E27FC236}">
              <a16:creationId xmlns:a16="http://schemas.microsoft.com/office/drawing/2014/main" id="{DB0F323F-FB7B-41DD-83BE-FB588A2E76E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42" name="Text 3">
          <a:extLst>
            <a:ext uri="{FF2B5EF4-FFF2-40B4-BE49-F238E27FC236}">
              <a16:creationId xmlns:a16="http://schemas.microsoft.com/office/drawing/2014/main" id="{15E8B750-8288-43B4-9D24-9AA664EF1D0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43" name="Text 3">
          <a:extLst>
            <a:ext uri="{FF2B5EF4-FFF2-40B4-BE49-F238E27FC236}">
              <a16:creationId xmlns:a16="http://schemas.microsoft.com/office/drawing/2014/main" id="{6FEA1FD7-2255-435A-88D9-6E04D5CEB23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44" name="Text 3">
          <a:extLst>
            <a:ext uri="{FF2B5EF4-FFF2-40B4-BE49-F238E27FC236}">
              <a16:creationId xmlns:a16="http://schemas.microsoft.com/office/drawing/2014/main" id="{362A6206-BBFC-4F1D-873E-3B4CD31D4D4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45" name="Text 3">
          <a:extLst>
            <a:ext uri="{FF2B5EF4-FFF2-40B4-BE49-F238E27FC236}">
              <a16:creationId xmlns:a16="http://schemas.microsoft.com/office/drawing/2014/main" id="{B2E2F5F0-5C36-41A6-ACF9-084A91EFC14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46" name="Text 3">
          <a:extLst>
            <a:ext uri="{FF2B5EF4-FFF2-40B4-BE49-F238E27FC236}">
              <a16:creationId xmlns:a16="http://schemas.microsoft.com/office/drawing/2014/main" id="{3D7AABAE-5DD7-49FD-9DB6-B9C3F1AEBDD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47" name="Text 3">
          <a:extLst>
            <a:ext uri="{FF2B5EF4-FFF2-40B4-BE49-F238E27FC236}">
              <a16:creationId xmlns:a16="http://schemas.microsoft.com/office/drawing/2014/main" id="{3DD3BB2D-BAA9-42F0-A6E1-6F699ADFF1F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48" name="Text 3">
          <a:extLst>
            <a:ext uri="{FF2B5EF4-FFF2-40B4-BE49-F238E27FC236}">
              <a16:creationId xmlns:a16="http://schemas.microsoft.com/office/drawing/2014/main" id="{F6AAD55C-EF14-4E2C-BC0B-18552051BA4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49" name="Text 3">
          <a:extLst>
            <a:ext uri="{FF2B5EF4-FFF2-40B4-BE49-F238E27FC236}">
              <a16:creationId xmlns:a16="http://schemas.microsoft.com/office/drawing/2014/main" id="{4DBA60DF-FE81-421E-9BB4-82F618397E9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50" name="Text 3">
          <a:extLst>
            <a:ext uri="{FF2B5EF4-FFF2-40B4-BE49-F238E27FC236}">
              <a16:creationId xmlns:a16="http://schemas.microsoft.com/office/drawing/2014/main" id="{BE7DE9CE-7817-4516-ADED-E95413DE138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51" name="Text 3">
          <a:extLst>
            <a:ext uri="{FF2B5EF4-FFF2-40B4-BE49-F238E27FC236}">
              <a16:creationId xmlns:a16="http://schemas.microsoft.com/office/drawing/2014/main" id="{56728E37-F76D-4B81-B79D-CD838ED56BF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52" name="Text 3">
          <a:extLst>
            <a:ext uri="{FF2B5EF4-FFF2-40B4-BE49-F238E27FC236}">
              <a16:creationId xmlns:a16="http://schemas.microsoft.com/office/drawing/2014/main" id="{8DACDFBE-C6FF-451F-9018-AA449EF437B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53" name="Text 3">
          <a:extLst>
            <a:ext uri="{FF2B5EF4-FFF2-40B4-BE49-F238E27FC236}">
              <a16:creationId xmlns:a16="http://schemas.microsoft.com/office/drawing/2014/main" id="{6A283C53-52CD-4244-9D8F-7DD9433C620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54" name="Text 3">
          <a:extLst>
            <a:ext uri="{FF2B5EF4-FFF2-40B4-BE49-F238E27FC236}">
              <a16:creationId xmlns:a16="http://schemas.microsoft.com/office/drawing/2014/main" id="{5318A99F-48A8-4ED8-AF27-9DC7ABFB3F9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55" name="Text 3">
          <a:extLst>
            <a:ext uri="{FF2B5EF4-FFF2-40B4-BE49-F238E27FC236}">
              <a16:creationId xmlns:a16="http://schemas.microsoft.com/office/drawing/2014/main" id="{71512626-919D-4C9D-86C8-31921B1C0B7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56" name="Text 3">
          <a:extLst>
            <a:ext uri="{FF2B5EF4-FFF2-40B4-BE49-F238E27FC236}">
              <a16:creationId xmlns:a16="http://schemas.microsoft.com/office/drawing/2014/main" id="{6CA2A95D-D941-43C4-878A-1587FDE620F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57" name="Text 3">
          <a:extLst>
            <a:ext uri="{FF2B5EF4-FFF2-40B4-BE49-F238E27FC236}">
              <a16:creationId xmlns:a16="http://schemas.microsoft.com/office/drawing/2014/main" id="{7C30A021-3FDF-4106-8B6F-6FD20AD409E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58" name="Text 3">
          <a:extLst>
            <a:ext uri="{FF2B5EF4-FFF2-40B4-BE49-F238E27FC236}">
              <a16:creationId xmlns:a16="http://schemas.microsoft.com/office/drawing/2014/main" id="{B7F5E191-F0C3-446D-B3B7-6CDDD5E4999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59" name="Text 3">
          <a:extLst>
            <a:ext uri="{FF2B5EF4-FFF2-40B4-BE49-F238E27FC236}">
              <a16:creationId xmlns:a16="http://schemas.microsoft.com/office/drawing/2014/main" id="{D3C56E65-29AC-45C5-AF88-9AE9C050903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60" name="Text 3">
          <a:extLst>
            <a:ext uri="{FF2B5EF4-FFF2-40B4-BE49-F238E27FC236}">
              <a16:creationId xmlns:a16="http://schemas.microsoft.com/office/drawing/2014/main" id="{B58549F7-580D-4554-97B3-EECE2045238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61" name="Text 3">
          <a:extLst>
            <a:ext uri="{FF2B5EF4-FFF2-40B4-BE49-F238E27FC236}">
              <a16:creationId xmlns:a16="http://schemas.microsoft.com/office/drawing/2014/main" id="{6E7D67A0-0D5E-4842-AE71-10A5560ABC2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62" name="Text 3">
          <a:extLst>
            <a:ext uri="{FF2B5EF4-FFF2-40B4-BE49-F238E27FC236}">
              <a16:creationId xmlns:a16="http://schemas.microsoft.com/office/drawing/2014/main" id="{66F57661-7889-45C4-A685-5FBAE48A182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63" name="Text 3">
          <a:extLst>
            <a:ext uri="{FF2B5EF4-FFF2-40B4-BE49-F238E27FC236}">
              <a16:creationId xmlns:a16="http://schemas.microsoft.com/office/drawing/2014/main" id="{18DB5860-E58C-4C26-A033-7347B691821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64" name="Text 3">
          <a:extLst>
            <a:ext uri="{FF2B5EF4-FFF2-40B4-BE49-F238E27FC236}">
              <a16:creationId xmlns:a16="http://schemas.microsoft.com/office/drawing/2014/main" id="{134702EA-3E90-4E13-818B-BECF3E968D4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65" name="Text 3">
          <a:extLst>
            <a:ext uri="{FF2B5EF4-FFF2-40B4-BE49-F238E27FC236}">
              <a16:creationId xmlns:a16="http://schemas.microsoft.com/office/drawing/2014/main" id="{23226542-0EF0-41A6-A1F1-F9F6F870B62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66" name="Text 3">
          <a:extLst>
            <a:ext uri="{FF2B5EF4-FFF2-40B4-BE49-F238E27FC236}">
              <a16:creationId xmlns:a16="http://schemas.microsoft.com/office/drawing/2014/main" id="{81633047-56AC-4D1D-AA0E-8F87CCD7D13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67" name="Text 3">
          <a:extLst>
            <a:ext uri="{FF2B5EF4-FFF2-40B4-BE49-F238E27FC236}">
              <a16:creationId xmlns:a16="http://schemas.microsoft.com/office/drawing/2014/main" id="{60C362B1-B551-4585-ABDE-2BF42E493BA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68" name="Text 3">
          <a:extLst>
            <a:ext uri="{FF2B5EF4-FFF2-40B4-BE49-F238E27FC236}">
              <a16:creationId xmlns:a16="http://schemas.microsoft.com/office/drawing/2014/main" id="{98436686-7D7E-4064-BEE5-49D8FCD51F1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69" name="Text 3">
          <a:extLst>
            <a:ext uri="{FF2B5EF4-FFF2-40B4-BE49-F238E27FC236}">
              <a16:creationId xmlns:a16="http://schemas.microsoft.com/office/drawing/2014/main" id="{771C2264-A8D5-472B-BA27-2A9AFFEC3FC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70" name="Text 3">
          <a:extLst>
            <a:ext uri="{FF2B5EF4-FFF2-40B4-BE49-F238E27FC236}">
              <a16:creationId xmlns:a16="http://schemas.microsoft.com/office/drawing/2014/main" id="{99B6198E-DBB7-4240-BD6E-2CF7D541385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71" name="Text 3">
          <a:extLst>
            <a:ext uri="{FF2B5EF4-FFF2-40B4-BE49-F238E27FC236}">
              <a16:creationId xmlns:a16="http://schemas.microsoft.com/office/drawing/2014/main" id="{B221BE1E-755C-4355-AEA2-B90253C0010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72" name="Text 3">
          <a:extLst>
            <a:ext uri="{FF2B5EF4-FFF2-40B4-BE49-F238E27FC236}">
              <a16:creationId xmlns:a16="http://schemas.microsoft.com/office/drawing/2014/main" id="{8720D4D6-AB02-4C1D-960F-6D222E3E27C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73" name="Text 3">
          <a:extLst>
            <a:ext uri="{FF2B5EF4-FFF2-40B4-BE49-F238E27FC236}">
              <a16:creationId xmlns:a16="http://schemas.microsoft.com/office/drawing/2014/main" id="{1901F02E-D21D-4D19-8631-3880AAC6360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74" name="Text 3">
          <a:extLst>
            <a:ext uri="{FF2B5EF4-FFF2-40B4-BE49-F238E27FC236}">
              <a16:creationId xmlns:a16="http://schemas.microsoft.com/office/drawing/2014/main" id="{6368BD14-C1DE-42DB-B5B8-D016BC0CDE4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75" name="Text 3">
          <a:extLst>
            <a:ext uri="{FF2B5EF4-FFF2-40B4-BE49-F238E27FC236}">
              <a16:creationId xmlns:a16="http://schemas.microsoft.com/office/drawing/2014/main" id="{0878152D-3E7C-44C3-9FFD-8C13D7544EC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76" name="Text 3">
          <a:extLst>
            <a:ext uri="{FF2B5EF4-FFF2-40B4-BE49-F238E27FC236}">
              <a16:creationId xmlns:a16="http://schemas.microsoft.com/office/drawing/2014/main" id="{0A2B0199-6582-45CD-9DE9-AFBB22C2F74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77" name="Text 3">
          <a:extLst>
            <a:ext uri="{FF2B5EF4-FFF2-40B4-BE49-F238E27FC236}">
              <a16:creationId xmlns:a16="http://schemas.microsoft.com/office/drawing/2014/main" id="{C5CC019E-C343-46BB-A059-2B6F529E2DB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78" name="Text 3">
          <a:extLst>
            <a:ext uri="{FF2B5EF4-FFF2-40B4-BE49-F238E27FC236}">
              <a16:creationId xmlns:a16="http://schemas.microsoft.com/office/drawing/2014/main" id="{5B72B84B-F67F-4231-B6BF-1253DB55817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79" name="Text 3">
          <a:extLst>
            <a:ext uri="{FF2B5EF4-FFF2-40B4-BE49-F238E27FC236}">
              <a16:creationId xmlns:a16="http://schemas.microsoft.com/office/drawing/2014/main" id="{823EC8DE-ABD1-4112-BB36-3495E644755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80" name="Text 3">
          <a:extLst>
            <a:ext uri="{FF2B5EF4-FFF2-40B4-BE49-F238E27FC236}">
              <a16:creationId xmlns:a16="http://schemas.microsoft.com/office/drawing/2014/main" id="{B526F0C6-2DCF-4DB7-AD3D-B9599BCC1B0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81" name="Text 3">
          <a:extLst>
            <a:ext uri="{FF2B5EF4-FFF2-40B4-BE49-F238E27FC236}">
              <a16:creationId xmlns:a16="http://schemas.microsoft.com/office/drawing/2014/main" id="{0ECE0A0A-6050-4544-AE4E-053BF86E497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82" name="Text 3">
          <a:extLst>
            <a:ext uri="{FF2B5EF4-FFF2-40B4-BE49-F238E27FC236}">
              <a16:creationId xmlns:a16="http://schemas.microsoft.com/office/drawing/2014/main" id="{D4D359B6-2AE8-4BB4-9128-B3968ACE462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83" name="Text 3">
          <a:extLst>
            <a:ext uri="{FF2B5EF4-FFF2-40B4-BE49-F238E27FC236}">
              <a16:creationId xmlns:a16="http://schemas.microsoft.com/office/drawing/2014/main" id="{E60804E9-071A-4347-BE10-35C420039E2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84" name="Text 3">
          <a:extLst>
            <a:ext uri="{FF2B5EF4-FFF2-40B4-BE49-F238E27FC236}">
              <a16:creationId xmlns:a16="http://schemas.microsoft.com/office/drawing/2014/main" id="{4652E301-B73D-4D77-9A6E-21CF0719794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85" name="Text 3">
          <a:extLst>
            <a:ext uri="{FF2B5EF4-FFF2-40B4-BE49-F238E27FC236}">
              <a16:creationId xmlns:a16="http://schemas.microsoft.com/office/drawing/2014/main" id="{32AA4DC2-C277-46F6-80AC-F1C858A5F73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86" name="Text 3">
          <a:extLst>
            <a:ext uri="{FF2B5EF4-FFF2-40B4-BE49-F238E27FC236}">
              <a16:creationId xmlns:a16="http://schemas.microsoft.com/office/drawing/2014/main" id="{653F9D3A-8CCD-48DB-A7FD-C16E219C544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87" name="Text 3">
          <a:extLst>
            <a:ext uri="{FF2B5EF4-FFF2-40B4-BE49-F238E27FC236}">
              <a16:creationId xmlns:a16="http://schemas.microsoft.com/office/drawing/2014/main" id="{DDDE0A42-F1A1-4F10-8D10-261CF61B2E7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88" name="Text 3">
          <a:extLst>
            <a:ext uri="{FF2B5EF4-FFF2-40B4-BE49-F238E27FC236}">
              <a16:creationId xmlns:a16="http://schemas.microsoft.com/office/drawing/2014/main" id="{E1F497CC-316A-49A6-8164-8B66A633BF8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89" name="Text 3">
          <a:extLst>
            <a:ext uri="{FF2B5EF4-FFF2-40B4-BE49-F238E27FC236}">
              <a16:creationId xmlns:a16="http://schemas.microsoft.com/office/drawing/2014/main" id="{03AA9E09-1EE4-41A8-AD05-C457571D734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90" name="Text 3">
          <a:extLst>
            <a:ext uri="{FF2B5EF4-FFF2-40B4-BE49-F238E27FC236}">
              <a16:creationId xmlns:a16="http://schemas.microsoft.com/office/drawing/2014/main" id="{D91ABE69-26DE-4021-8339-A3A629AEA97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91" name="Text 3">
          <a:extLst>
            <a:ext uri="{FF2B5EF4-FFF2-40B4-BE49-F238E27FC236}">
              <a16:creationId xmlns:a16="http://schemas.microsoft.com/office/drawing/2014/main" id="{E414E785-4819-42C7-8E72-0A901F1757E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92" name="Text 3">
          <a:extLst>
            <a:ext uri="{FF2B5EF4-FFF2-40B4-BE49-F238E27FC236}">
              <a16:creationId xmlns:a16="http://schemas.microsoft.com/office/drawing/2014/main" id="{BC0D7643-BD6B-4482-BC75-8CC7E61B77B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93" name="Text 3">
          <a:extLst>
            <a:ext uri="{FF2B5EF4-FFF2-40B4-BE49-F238E27FC236}">
              <a16:creationId xmlns:a16="http://schemas.microsoft.com/office/drawing/2014/main" id="{5F8197D9-8FBE-446D-95C9-73365DC9B3D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94" name="Text 3">
          <a:extLst>
            <a:ext uri="{FF2B5EF4-FFF2-40B4-BE49-F238E27FC236}">
              <a16:creationId xmlns:a16="http://schemas.microsoft.com/office/drawing/2014/main" id="{0E6A4752-7ADA-4312-9BAA-D73E7FEC459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95" name="Text 3">
          <a:extLst>
            <a:ext uri="{FF2B5EF4-FFF2-40B4-BE49-F238E27FC236}">
              <a16:creationId xmlns:a16="http://schemas.microsoft.com/office/drawing/2014/main" id="{EA98563A-1AC4-4E57-8D66-EF376187BD4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96" name="Text 3">
          <a:extLst>
            <a:ext uri="{FF2B5EF4-FFF2-40B4-BE49-F238E27FC236}">
              <a16:creationId xmlns:a16="http://schemas.microsoft.com/office/drawing/2014/main" id="{612DB288-1F31-4C71-AAB1-2B3BE95A0A5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97" name="Text 3">
          <a:extLst>
            <a:ext uri="{FF2B5EF4-FFF2-40B4-BE49-F238E27FC236}">
              <a16:creationId xmlns:a16="http://schemas.microsoft.com/office/drawing/2014/main" id="{EEB67953-8130-4E1B-A612-6006ADF95CA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98" name="Text 3">
          <a:extLst>
            <a:ext uri="{FF2B5EF4-FFF2-40B4-BE49-F238E27FC236}">
              <a16:creationId xmlns:a16="http://schemas.microsoft.com/office/drawing/2014/main" id="{7255EECC-B7D8-455B-8CDE-3EC8391CFFC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99" name="Text 3">
          <a:extLst>
            <a:ext uri="{FF2B5EF4-FFF2-40B4-BE49-F238E27FC236}">
              <a16:creationId xmlns:a16="http://schemas.microsoft.com/office/drawing/2014/main" id="{CD612921-DA4A-49AB-8F33-78C7C52C006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00" name="Text 3">
          <a:extLst>
            <a:ext uri="{FF2B5EF4-FFF2-40B4-BE49-F238E27FC236}">
              <a16:creationId xmlns:a16="http://schemas.microsoft.com/office/drawing/2014/main" id="{797E1EEC-C827-45B6-9E2D-894DBF15540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01" name="Text 3">
          <a:extLst>
            <a:ext uri="{FF2B5EF4-FFF2-40B4-BE49-F238E27FC236}">
              <a16:creationId xmlns:a16="http://schemas.microsoft.com/office/drawing/2014/main" id="{83479970-9365-49D0-947D-00CA411833A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02" name="Text 3">
          <a:extLst>
            <a:ext uri="{FF2B5EF4-FFF2-40B4-BE49-F238E27FC236}">
              <a16:creationId xmlns:a16="http://schemas.microsoft.com/office/drawing/2014/main" id="{1BBCD309-67B6-44D3-801B-18E29E9A09E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03" name="Text 3">
          <a:extLst>
            <a:ext uri="{FF2B5EF4-FFF2-40B4-BE49-F238E27FC236}">
              <a16:creationId xmlns:a16="http://schemas.microsoft.com/office/drawing/2014/main" id="{96AC5D29-5C1E-41BF-A3E6-C2B26702292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04" name="Text 3">
          <a:extLst>
            <a:ext uri="{FF2B5EF4-FFF2-40B4-BE49-F238E27FC236}">
              <a16:creationId xmlns:a16="http://schemas.microsoft.com/office/drawing/2014/main" id="{7305EB41-92BB-4D7A-8236-3FE328E6A45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05" name="Text 3">
          <a:extLst>
            <a:ext uri="{FF2B5EF4-FFF2-40B4-BE49-F238E27FC236}">
              <a16:creationId xmlns:a16="http://schemas.microsoft.com/office/drawing/2014/main" id="{52AB88C2-3545-4AB1-8276-49E915F0BA5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06" name="Text 3">
          <a:extLst>
            <a:ext uri="{FF2B5EF4-FFF2-40B4-BE49-F238E27FC236}">
              <a16:creationId xmlns:a16="http://schemas.microsoft.com/office/drawing/2014/main" id="{D8D60093-5B16-4821-BF68-5B7D90071A2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07" name="Text 3">
          <a:extLst>
            <a:ext uri="{FF2B5EF4-FFF2-40B4-BE49-F238E27FC236}">
              <a16:creationId xmlns:a16="http://schemas.microsoft.com/office/drawing/2014/main" id="{8A621DAC-93A9-41C4-910B-574BB1787DD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08" name="Text 3">
          <a:extLst>
            <a:ext uri="{FF2B5EF4-FFF2-40B4-BE49-F238E27FC236}">
              <a16:creationId xmlns:a16="http://schemas.microsoft.com/office/drawing/2014/main" id="{8D159094-84EA-473A-8EEB-41366E848D3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09" name="Text 3">
          <a:extLst>
            <a:ext uri="{FF2B5EF4-FFF2-40B4-BE49-F238E27FC236}">
              <a16:creationId xmlns:a16="http://schemas.microsoft.com/office/drawing/2014/main" id="{51FDBE3A-1824-47A8-BFD2-DEF49ACCFD8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10" name="Text 3">
          <a:extLst>
            <a:ext uri="{FF2B5EF4-FFF2-40B4-BE49-F238E27FC236}">
              <a16:creationId xmlns:a16="http://schemas.microsoft.com/office/drawing/2014/main" id="{74C0601A-7FA9-49BF-84DF-ADAC66EF835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11" name="Text 3">
          <a:extLst>
            <a:ext uri="{FF2B5EF4-FFF2-40B4-BE49-F238E27FC236}">
              <a16:creationId xmlns:a16="http://schemas.microsoft.com/office/drawing/2014/main" id="{4B1FE55A-8DCA-4A98-BED5-31DCFDD31D1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12" name="Text 3">
          <a:extLst>
            <a:ext uri="{FF2B5EF4-FFF2-40B4-BE49-F238E27FC236}">
              <a16:creationId xmlns:a16="http://schemas.microsoft.com/office/drawing/2014/main" id="{A79F709D-048D-4D95-84ED-15852D31270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13" name="Text 3">
          <a:extLst>
            <a:ext uri="{FF2B5EF4-FFF2-40B4-BE49-F238E27FC236}">
              <a16:creationId xmlns:a16="http://schemas.microsoft.com/office/drawing/2014/main" id="{13822C8E-4527-43C9-B3EA-0D3E38F069B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14" name="Text 3">
          <a:extLst>
            <a:ext uri="{FF2B5EF4-FFF2-40B4-BE49-F238E27FC236}">
              <a16:creationId xmlns:a16="http://schemas.microsoft.com/office/drawing/2014/main" id="{932A6886-EA9D-4AC0-A91F-6AEE95AA779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15" name="Text 3">
          <a:extLst>
            <a:ext uri="{FF2B5EF4-FFF2-40B4-BE49-F238E27FC236}">
              <a16:creationId xmlns:a16="http://schemas.microsoft.com/office/drawing/2014/main" id="{4C59C7A0-6C07-45E3-B498-2F83A650A01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16" name="Text 3">
          <a:extLst>
            <a:ext uri="{FF2B5EF4-FFF2-40B4-BE49-F238E27FC236}">
              <a16:creationId xmlns:a16="http://schemas.microsoft.com/office/drawing/2014/main" id="{3C28632E-F64E-4A0B-A72D-191B4E168A3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17" name="Text 3">
          <a:extLst>
            <a:ext uri="{FF2B5EF4-FFF2-40B4-BE49-F238E27FC236}">
              <a16:creationId xmlns:a16="http://schemas.microsoft.com/office/drawing/2014/main" id="{2FE8D8F9-EDB5-4C5C-AF11-CCC3A70D946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18" name="Text 3">
          <a:extLst>
            <a:ext uri="{FF2B5EF4-FFF2-40B4-BE49-F238E27FC236}">
              <a16:creationId xmlns:a16="http://schemas.microsoft.com/office/drawing/2014/main" id="{E266B8C1-8E1C-43C5-A868-5DCE890EF4B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19" name="Text 3">
          <a:extLst>
            <a:ext uri="{FF2B5EF4-FFF2-40B4-BE49-F238E27FC236}">
              <a16:creationId xmlns:a16="http://schemas.microsoft.com/office/drawing/2014/main" id="{81309C42-2E30-4747-8ED4-74AE0AAEEFA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20" name="Text 3">
          <a:extLst>
            <a:ext uri="{FF2B5EF4-FFF2-40B4-BE49-F238E27FC236}">
              <a16:creationId xmlns:a16="http://schemas.microsoft.com/office/drawing/2014/main" id="{B0F9B550-45BF-4976-80D1-534A2D14EFE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21" name="Text 3">
          <a:extLst>
            <a:ext uri="{FF2B5EF4-FFF2-40B4-BE49-F238E27FC236}">
              <a16:creationId xmlns:a16="http://schemas.microsoft.com/office/drawing/2014/main" id="{6CE508EF-B6BA-46F0-9553-DE4B25DC88A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22" name="Text 3">
          <a:extLst>
            <a:ext uri="{FF2B5EF4-FFF2-40B4-BE49-F238E27FC236}">
              <a16:creationId xmlns:a16="http://schemas.microsoft.com/office/drawing/2014/main" id="{26F991CD-F21B-4DAC-83F2-9EE94511C9C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23" name="Text 3">
          <a:extLst>
            <a:ext uri="{FF2B5EF4-FFF2-40B4-BE49-F238E27FC236}">
              <a16:creationId xmlns:a16="http://schemas.microsoft.com/office/drawing/2014/main" id="{F7864F9A-DB2E-45C8-A1F0-6F6C7D2FE1C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24" name="Text 3">
          <a:extLst>
            <a:ext uri="{FF2B5EF4-FFF2-40B4-BE49-F238E27FC236}">
              <a16:creationId xmlns:a16="http://schemas.microsoft.com/office/drawing/2014/main" id="{C44CA087-7C89-406E-B0D3-8E4B558784C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25" name="Text 3">
          <a:extLst>
            <a:ext uri="{FF2B5EF4-FFF2-40B4-BE49-F238E27FC236}">
              <a16:creationId xmlns:a16="http://schemas.microsoft.com/office/drawing/2014/main" id="{2CAC3F57-667B-4C78-9681-8E1CE3A1F53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26" name="Text 3">
          <a:extLst>
            <a:ext uri="{FF2B5EF4-FFF2-40B4-BE49-F238E27FC236}">
              <a16:creationId xmlns:a16="http://schemas.microsoft.com/office/drawing/2014/main" id="{194BE884-A5A3-4EEE-B5E6-8B411C267DD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27" name="Text 3">
          <a:extLst>
            <a:ext uri="{FF2B5EF4-FFF2-40B4-BE49-F238E27FC236}">
              <a16:creationId xmlns:a16="http://schemas.microsoft.com/office/drawing/2014/main" id="{3EF3D1C3-1EA5-443C-B3CE-2F7F5A8D99E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28" name="Text 3">
          <a:extLst>
            <a:ext uri="{FF2B5EF4-FFF2-40B4-BE49-F238E27FC236}">
              <a16:creationId xmlns:a16="http://schemas.microsoft.com/office/drawing/2014/main" id="{21543807-CAAF-4934-AB93-D9B9D9F1301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29" name="Text 3">
          <a:extLst>
            <a:ext uri="{FF2B5EF4-FFF2-40B4-BE49-F238E27FC236}">
              <a16:creationId xmlns:a16="http://schemas.microsoft.com/office/drawing/2014/main" id="{049B9BB6-AAB4-4FF0-B91C-673B8B29702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30" name="Text 3">
          <a:extLst>
            <a:ext uri="{FF2B5EF4-FFF2-40B4-BE49-F238E27FC236}">
              <a16:creationId xmlns:a16="http://schemas.microsoft.com/office/drawing/2014/main" id="{DDEC3D32-8DB1-4E77-A403-C7AA35A9DF6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31" name="Text 3">
          <a:extLst>
            <a:ext uri="{FF2B5EF4-FFF2-40B4-BE49-F238E27FC236}">
              <a16:creationId xmlns:a16="http://schemas.microsoft.com/office/drawing/2014/main" id="{228DB59D-508C-4E01-8D2E-0A24FC5987F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32" name="Text 3">
          <a:extLst>
            <a:ext uri="{FF2B5EF4-FFF2-40B4-BE49-F238E27FC236}">
              <a16:creationId xmlns:a16="http://schemas.microsoft.com/office/drawing/2014/main" id="{C326D660-0ADA-4882-B41B-ED09EA140AE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33" name="Text 3">
          <a:extLst>
            <a:ext uri="{FF2B5EF4-FFF2-40B4-BE49-F238E27FC236}">
              <a16:creationId xmlns:a16="http://schemas.microsoft.com/office/drawing/2014/main" id="{94AF1DF8-5E84-4E45-9229-782BDE7F1DC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34" name="Text 3">
          <a:extLst>
            <a:ext uri="{FF2B5EF4-FFF2-40B4-BE49-F238E27FC236}">
              <a16:creationId xmlns:a16="http://schemas.microsoft.com/office/drawing/2014/main" id="{9A74DACA-9B00-47D9-A12D-99EE28721C2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35" name="Text 3">
          <a:extLst>
            <a:ext uri="{FF2B5EF4-FFF2-40B4-BE49-F238E27FC236}">
              <a16:creationId xmlns:a16="http://schemas.microsoft.com/office/drawing/2014/main" id="{721B1357-2450-4EB7-AA51-E9529585732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36" name="Text 3">
          <a:extLst>
            <a:ext uri="{FF2B5EF4-FFF2-40B4-BE49-F238E27FC236}">
              <a16:creationId xmlns:a16="http://schemas.microsoft.com/office/drawing/2014/main" id="{762683D6-FF1F-48B9-AE3B-40628DDBB95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37" name="Text 3">
          <a:extLst>
            <a:ext uri="{FF2B5EF4-FFF2-40B4-BE49-F238E27FC236}">
              <a16:creationId xmlns:a16="http://schemas.microsoft.com/office/drawing/2014/main" id="{053D47E1-A439-4AC7-A2D9-D6B162CEB93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38" name="Text 3">
          <a:extLst>
            <a:ext uri="{FF2B5EF4-FFF2-40B4-BE49-F238E27FC236}">
              <a16:creationId xmlns:a16="http://schemas.microsoft.com/office/drawing/2014/main" id="{9E4B9080-95E2-49A1-A7B9-59D021BE29F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39" name="Text 3">
          <a:extLst>
            <a:ext uri="{FF2B5EF4-FFF2-40B4-BE49-F238E27FC236}">
              <a16:creationId xmlns:a16="http://schemas.microsoft.com/office/drawing/2014/main" id="{051F058B-DC00-4B72-86BD-1C5002B37E4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40" name="Text 3">
          <a:extLst>
            <a:ext uri="{FF2B5EF4-FFF2-40B4-BE49-F238E27FC236}">
              <a16:creationId xmlns:a16="http://schemas.microsoft.com/office/drawing/2014/main" id="{D61E84AC-4FD7-4D5F-B3BD-200A31B1B30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41" name="Text 3">
          <a:extLst>
            <a:ext uri="{FF2B5EF4-FFF2-40B4-BE49-F238E27FC236}">
              <a16:creationId xmlns:a16="http://schemas.microsoft.com/office/drawing/2014/main" id="{798D382F-DC5A-429B-B42F-3A17E83A309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42" name="Text 3">
          <a:extLst>
            <a:ext uri="{FF2B5EF4-FFF2-40B4-BE49-F238E27FC236}">
              <a16:creationId xmlns:a16="http://schemas.microsoft.com/office/drawing/2014/main" id="{128614EE-16DC-40FA-9213-2B87756DE91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43" name="Text 3">
          <a:extLst>
            <a:ext uri="{FF2B5EF4-FFF2-40B4-BE49-F238E27FC236}">
              <a16:creationId xmlns:a16="http://schemas.microsoft.com/office/drawing/2014/main" id="{395CBA44-B8B3-4D0E-84DB-E7E64C23A48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44" name="Text 3">
          <a:extLst>
            <a:ext uri="{FF2B5EF4-FFF2-40B4-BE49-F238E27FC236}">
              <a16:creationId xmlns:a16="http://schemas.microsoft.com/office/drawing/2014/main" id="{02F753D6-DD71-4D7C-BA00-48BBF479C47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45" name="Text 3">
          <a:extLst>
            <a:ext uri="{FF2B5EF4-FFF2-40B4-BE49-F238E27FC236}">
              <a16:creationId xmlns:a16="http://schemas.microsoft.com/office/drawing/2014/main" id="{51B568FC-38BA-4AB0-B537-73C6C1F9F37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46" name="Text 3">
          <a:extLst>
            <a:ext uri="{FF2B5EF4-FFF2-40B4-BE49-F238E27FC236}">
              <a16:creationId xmlns:a16="http://schemas.microsoft.com/office/drawing/2014/main" id="{23E10C4D-F3EC-4E1B-AA81-362B35D8CD3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47" name="Text 3">
          <a:extLst>
            <a:ext uri="{FF2B5EF4-FFF2-40B4-BE49-F238E27FC236}">
              <a16:creationId xmlns:a16="http://schemas.microsoft.com/office/drawing/2014/main" id="{E8CFD4C9-4580-4A61-99E6-8720CDB5FAF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48" name="Text 3">
          <a:extLst>
            <a:ext uri="{FF2B5EF4-FFF2-40B4-BE49-F238E27FC236}">
              <a16:creationId xmlns:a16="http://schemas.microsoft.com/office/drawing/2014/main" id="{38D20502-0F99-40F0-B694-314BA251C03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49" name="Text 3">
          <a:extLst>
            <a:ext uri="{FF2B5EF4-FFF2-40B4-BE49-F238E27FC236}">
              <a16:creationId xmlns:a16="http://schemas.microsoft.com/office/drawing/2014/main" id="{46C62EA6-6FDF-4EA9-BF2C-1D945F34DE1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50" name="Text 3">
          <a:extLst>
            <a:ext uri="{FF2B5EF4-FFF2-40B4-BE49-F238E27FC236}">
              <a16:creationId xmlns:a16="http://schemas.microsoft.com/office/drawing/2014/main" id="{7AE8E409-61E9-41C3-9144-9EE2C772DDA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51" name="Text 3">
          <a:extLst>
            <a:ext uri="{FF2B5EF4-FFF2-40B4-BE49-F238E27FC236}">
              <a16:creationId xmlns:a16="http://schemas.microsoft.com/office/drawing/2014/main" id="{72CFB02B-C251-4F2D-8817-9A4E7B18A47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52" name="Text 3">
          <a:extLst>
            <a:ext uri="{FF2B5EF4-FFF2-40B4-BE49-F238E27FC236}">
              <a16:creationId xmlns:a16="http://schemas.microsoft.com/office/drawing/2014/main" id="{9FC295FE-A2F4-44FE-B95F-F0E21984B46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53" name="Text 3">
          <a:extLst>
            <a:ext uri="{FF2B5EF4-FFF2-40B4-BE49-F238E27FC236}">
              <a16:creationId xmlns:a16="http://schemas.microsoft.com/office/drawing/2014/main" id="{8EA6A324-7F4B-4F70-BADA-AF8254D0C7B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54" name="Text 3">
          <a:extLst>
            <a:ext uri="{FF2B5EF4-FFF2-40B4-BE49-F238E27FC236}">
              <a16:creationId xmlns:a16="http://schemas.microsoft.com/office/drawing/2014/main" id="{7F2216CE-F1CE-40B7-ABD0-0773D2DD9E9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55" name="Text 3">
          <a:extLst>
            <a:ext uri="{FF2B5EF4-FFF2-40B4-BE49-F238E27FC236}">
              <a16:creationId xmlns:a16="http://schemas.microsoft.com/office/drawing/2014/main" id="{4A9BF849-1787-462C-8BF4-07884DAFC72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56" name="Text 3">
          <a:extLst>
            <a:ext uri="{FF2B5EF4-FFF2-40B4-BE49-F238E27FC236}">
              <a16:creationId xmlns:a16="http://schemas.microsoft.com/office/drawing/2014/main" id="{C7D34F14-C58B-475D-94A9-3BEC436FCDB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57" name="Text 3">
          <a:extLst>
            <a:ext uri="{FF2B5EF4-FFF2-40B4-BE49-F238E27FC236}">
              <a16:creationId xmlns:a16="http://schemas.microsoft.com/office/drawing/2014/main" id="{99FBBFDD-EC99-494D-A97B-B735B11B003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58" name="Text 3">
          <a:extLst>
            <a:ext uri="{FF2B5EF4-FFF2-40B4-BE49-F238E27FC236}">
              <a16:creationId xmlns:a16="http://schemas.microsoft.com/office/drawing/2014/main" id="{4A19FC8D-0AC8-4A02-8ED4-89D7D964484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59" name="Text 3">
          <a:extLst>
            <a:ext uri="{FF2B5EF4-FFF2-40B4-BE49-F238E27FC236}">
              <a16:creationId xmlns:a16="http://schemas.microsoft.com/office/drawing/2014/main" id="{5EA8E448-70F8-4294-9077-767F48E2F31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60" name="Text 3">
          <a:extLst>
            <a:ext uri="{FF2B5EF4-FFF2-40B4-BE49-F238E27FC236}">
              <a16:creationId xmlns:a16="http://schemas.microsoft.com/office/drawing/2014/main" id="{19FCCA3F-8E3A-4F24-BF2A-CFE5CF8EB17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61" name="Text 3">
          <a:extLst>
            <a:ext uri="{FF2B5EF4-FFF2-40B4-BE49-F238E27FC236}">
              <a16:creationId xmlns:a16="http://schemas.microsoft.com/office/drawing/2014/main" id="{F3061FC5-0E86-4A42-B033-6D233829598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62" name="Text 3">
          <a:extLst>
            <a:ext uri="{FF2B5EF4-FFF2-40B4-BE49-F238E27FC236}">
              <a16:creationId xmlns:a16="http://schemas.microsoft.com/office/drawing/2014/main" id="{42DF7F23-FCF0-45F1-AB4D-5C2B3FBAA6E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63" name="Text 3">
          <a:extLst>
            <a:ext uri="{FF2B5EF4-FFF2-40B4-BE49-F238E27FC236}">
              <a16:creationId xmlns:a16="http://schemas.microsoft.com/office/drawing/2014/main" id="{51D87276-B800-4D32-A190-710616E8B95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64" name="Text 3">
          <a:extLst>
            <a:ext uri="{FF2B5EF4-FFF2-40B4-BE49-F238E27FC236}">
              <a16:creationId xmlns:a16="http://schemas.microsoft.com/office/drawing/2014/main" id="{9C6EFEA2-0230-4641-9114-DD91DB25294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65" name="Text 3">
          <a:extLst>
            <a:ext uri="{FF2B5EF4-FFF2-40B4-BE49-F238E27FC236}">
              <a16:creationId xmlns:a16="http://schemas.microsoft.com/office/drawing/2014/main" id="{A5A88D34-1D68-4D46-BE53-85D5775C58E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66" name="Text 3">
          <a:extLst>
            <a:ext uri="{FF2B5EF4-FFF2-40B4-BE49-F238E27FC236}">
              <a16:creationId xmlns:a16="http://schemas.microsoft.com/office/drawing/2014/main" id="{5123C772-451D-4E68-9F5C-877279AE2B6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67" name="Text 3">
          <a:extLst>
            <a:ext uri="{FF2B5EF4-FFF2-40B4-BE49-F238E27FC236}">
              <a16:creationId xmlns:a16="http://schemas.microsoft.com/office/drawing/2014/main" id="{B1E8C301-9B51-4971-B05C-0C0156BC34D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68" name="Text 3">
          <a:extLst>
            <a:ext uri="{FF2B5EF4-FFF2-40B4-BE49-F238E27FC236}">
              <a16:creationId xmlns:a16="http://schemas.microsoft.com/office/drawing/2014/main" id="{32D8233A-E061-4901-859E-B839E26F8A8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69" name="Text 3">
          <a:extLst>
            <a:ext uri="{FF2B5EF4-FFF2-40B4-BE49-F238E27FC236}">
              <a16:creationId xmlns:a16="http://schemas.microsoft.com/office/drawing/2014/main" id="{1D131A08-5343-4B50-BEF1-A15CB1EDE35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70" name="Text 3">
          <a:extLst>
            <a:ext uri="{FF2B5EF4-FFF2-40B4-BE49-F238E27FC236}">
              <a16:creationId xmlns:a16="http://schemas.microsoft.com/office/drawing/2014/main" id="{4AC0EAEB-A2CA-41BA-B53B-9E8C4831528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71" name="Text 3">
          <a:extLst>
            <a:ext uri="{FF2B5EF4-FFF2-40B4-BE49-F238E27FC236}">
              <a16:creationId xmlns:a16="http://schemas.microsoft.com/office/drawing/2014/main" id="{5F978EB4-4E0D-4BCA-80AE-5D8E4C93F10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72" name="Text 3">
          <a:extLst>
            <a:ext uri="{FF2B5EF4-FFF2-40B4-BE49-F238E27FC236}">
              <a16:creationId xmlns:a16="http://schemas.microsoft.com/office/drawing/2014/main" id="{97713B6C-12EA-4948-9897-6E2224EFA22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73" name="Text 3">
          <a:extLst>
            <a:ext uri="{FF2B5EF4-FFF2-40B4-BE49-F238E27FC236}">
              <a16:creationId xmlns:a16="http://schemas.microsoft.com/office/drawing/2014/main" id="{DBA21B21-79ED-4ADA-939C-A2551099794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74" name="Text 3">
          <a:extLst>
            <a:ext uri="{FF2B5EF4-FFF2-40B4-BE49-F238E27FC236}">
              <a16:creationId xmlns:a16="http://schemas.microsoft.com/office/drawing/2014/main" id="{1A770982-5DB6-4A37-B768-5156C9D387F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75" name="Text 3">
          <a:extLst>
            <a:ext uri="{FF2B5EF4-FFF2-40B4-BE49-F238E27FC236}">
              <a16:creationId xmlns:a16="http://schemas.microsoft.com/office/drawing/2014/main" id="{8A3FA472-5F55-4EE1-9FCE-AD04A78419D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76" name="Text 3">
          <a:extLst>
            <a:ext uri="{FF2B5EF4-FFF2-40B4-BE49-F238E27FC236}">
              <a16:creationId xmlns:a16="http://schemas.microsoft.com/office/drawing/2014/main" id="{06EFC854-A483-4010-935D-CCCB780DFA1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77" name="Text 3">
          <a:extLst>
            <a:ext uri="{FF2B5EF4-FFF2-40B4-BE49-F238E27FC236}">
              <a16:creationId xmlns:a16="http://schemas.microsoft.com/office/drawing/2014/main" id="{061D17F9-000F-4BC0-92D2-84674704277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78" name="Text 3">
          <a:extLst>
            <a:ext uri="{FF2B5EF4-FFF2-40B4-BE49-F238E27FC236}">
              <a16:creationId xmlns:a16="http://schemas.microsoft.com/office/drawing/2014/main" id="{6B1461E0-D772-4A75-9830-97E7D0BD24A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79" name="Text 3">
          <a:extLst>
            <a:ext uri="{FF2B5EF4-FFF2-40B4-BE49-F238E27FC236}">
              <a16:creationId xmlns:a16="http://schemas.microsoft.com/office/drawing/2014/main" id="{12E72614-ECB6-4E45-8C93-3671A97AC5B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80" name="Text 3">
          <a:extLst>
            <a:ext uri="{FF2B5EF4-FFF2-40B4-BE49-F238E27FC236}">
              <a16:creationId xmlns:a16="http://schemas.microsoft.com/office/drawing/2014/main" id="{D106B53D-59A4-4A3A-92EC-C3383CCEF5D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81" name="Text 3">
          <a:extLst>
            <a:ext uri="{FF2B5EF4-FFF2-40B4-BE49-F238E27FC236}">
              <a16:creationId xmlns:a16="http://schemas.microsoft.com/office/drawing/2014/main" id="{042DD372-18E0-4BDC-826B-EBEFC04C81C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82" name="Text 3">
          <a:extLst>
            <a:ext uri="{FF2B5EF4-FFF2-40B4-BE49-F238E27FC236}">
              <a16:creationId xmlns:a16="http://schemas.microsoft.com/office/drawing/2014/main" id="{7EF077A3-871F-4195-A943-25B1B908F9A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83" name="Text 3">
          <a:extLst>
            <a:ext uri="{FF2B5EF4-FFF2-40B4-BE49-F238E27FC236}">
              <a16:creationId xmlns:a16="http://schemas.microsoft.com/office/drawing/2014/main" id="{EAA5685B-0E6A-401D-A3AB-2AB067D36EF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84" name="Text 3">
          <a:extLst>
            <a:ext uri="{FF2B5EF4-FFF2-40B4-BE49-F238E27FC236}">
              <a16:creationId xmlns:a16="http://schemas.microsoft.com/office/drawing/2014/main" id="{06418D9F-AE48-45B2-B86A-C6608F2AA7D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85" name="Text 3">
          <a:extLst>
            <a:ext uri="{FF2B5EF4-FFF2-40B4-BE49-F238E27FC236}">
              <a16:creationId xmlns:a16="http://schemas.microsoft.com/office/drawing/2014/main" id="{44DF7562-7722-4C0D-97F9-EAA654FF543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86" name="Text 3">
          <a:extLst>
            <a:ext uri="{FF2B5EF4-FFF2-40B4-BE49-F238E27FC236}">
              <a16:creationId xmlns:a16="http://schemas.microsoft.com/office/drawing/2014/main" id="{2BF5B1A5-1420-4B94-B63B-45BECD16C26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87" name="Text 3">
          <a:extLst>
            <a:ext uri="{FF2B5EF4-FFF2-40B4-BE49-F238E27FC236}">
              <a16:creationId xmlns:a16="http://schemas.microsoft.com/office/drawing/2014/main" id="{87A276A1-2633-42D3-9E67-F869DE77523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88" name="Text 3">
          <a:extLst>
            <a:ext uri="{FF2B5EF4-FFF2-40B4-BE49-F238E27FC236}">
              <a16:creationId xmlns:a16="http://schemas.microsoft.com/office/drawing/2014/main" id="{72EC47A2-8241-460A-AC51-D654B4A8076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89" name="Text 3">
          <a:extLst>
            <a:ext uri="{FF2B5EF4-FFF2-40B4-BE49-F238E27FC236}">
              <a16:creationId xmlns:a16="http://schemas.microsoft.com/office/drawing/2014/main" id="{34995785-C53C-451C-8BB1-44B11F51F1E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90" name="Text 3">
          <a:extLst>
            <a:ext uri="{FF2B5EF4-FFF2-40B4-BE49-F238E27FC236}">
              <a16:creationId xmlns:a16="http://schemas.microsoft.com/office/drawing/2014/main" id="{7B098123-144C-4CC5-966A-390772748A6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91" name="Text 3">
          <a:extLst>
            <a:ext uri="{FF2B5EF4-FFF2-40B4-BE49-F238E27FC236}">
              <a16:creationId xmlns:a16="http://schemas.microsoft.com/office/drawing/2014/main" id="{ACE3AB55-CC6F-480D-8A66-61DAE24B337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92" name="Text 3">
          <a:extLst>
            <a:ext uri="{FF2B5EF4-FFF2-40B4-BE49-F238E27FC236}">
              <a16:creationId xmlns:a16="http://schemas.microsoft.com/office/drawing/2014/main" id="{2C6CC7FC-ED8B-448C-A9BC-2F74058099C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93" name="Text 3">
          <a:extLst>
            <a:ext uri="{FF2B5EF4-FFF2-40B4-BE49-F238E27FC236}">
              <a16:creationId xmlns:a16="http://schemas.microsoft.com/office/drawing/2014/main" id="{71A4483B-D692-4458-97BF-20AAFA79E9F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94" name="Text 3">
          <a:extLst>
            <a:ext uri="{FF2B5EF4-FFF2-40B4-BE49-F238E27FC236}">
              <a16:creationId xmlns:a16="http://schemas.microsoft.com/office/drawing/2014/main" id="{314049F2-287E-44D7-9690-CE2A2633279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95" name="Text 3">
          <a:extLst>
            <a:ext uri="{FF2B5EF4-FFF2-40B4-BE49-F238E27FC236}">
              <a16:creationId xmlns:a16="http://schemas.microsoft.com/office/drawing/2014/main" id="{BB3BC969-6774-4CC9-A03C-8E4C5827298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96" name="Text 3">
          <a:extLst>
            <a:ext uri="{FF2B5EF4-FFF2-40B4-BE49-F238E27FC236}">
              <a16:creationId xmlns:a16="http://schemas.microsoft.com/office/drawing/2014/main" id="{BA65B72B-0B24-4C26-849B-33A5177800F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97" name="Text 3">
          <a:extLst>
            <a:ext uri="{FF2B5EF4-FFF2-40B4-BE49-F238E27FC236}">
              <a16:creationId xmlns:a16="http://schemas.microsoft.com/office/drawing/2014/main" id="{D509745F-E452-49AD-B39C-AAF72EC16EE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98" name="Text 3">
          <a:extLst>
            <a:ext uri="{FF2B5EF4-FFF2-40B4-BE49-F238E27FC236}">
              <a16:creationId xmlns:a16="http://schemas.microsoft.com/office/drawing/2014/main" id="{06277502-1500-4708-85A9-7E4E9C8682E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99" name="Text 3">
          <a:extLst>
            <a:ext uri="{FF2B5EF4-FFF2-40B4-BE49-F238E27FC236}">
              <a16:creationId xmlns:a16="http://schemas.microsoft.com/office/drawing/2014/main" id="{D92BB895-1931-440B-9E28-18F38913803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00" name="Text 3">
          <a:extLst>
            <a:ext uri="{FF2B5EF4-FFF2-40B4-BE49-F238E27FC236}">
              <a16:creationId xmlns:a16="http://schemas.microsoft.com/office/drawing/2014/main" id="{B66E5B43-A3DB-48E6-B2BA-862D082A99F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01" name="Text 3">
          <a:extLst>
            <a:ext uri="{FF2B5EF4-FFF2-40B4-BE49-F238E27FC236}">
              <a16:creationId xmlns:a16="http://schemas.microsoft.com/office/drawing/2014/main" id="{A0C7D996-595A-4B3B-8732-A05FBFC1B8E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02" name="Text 3">
          <a:extLst>
            <a:ext uri="{FF2B5EF4-FFF2-40B4-BE49-F238E27FC236}">
              <a16:creationId xmlns:a16="http://schemas.microsoft.com/office/drawing/2014/main" id="{6BBE3738-A2FC-443E-ADD9-2ABF1146625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03" name="Text 3">
          <a:extLst>
            <a:ext uri="{FF2B5EF4-FFF2-40B4-BE49-F238E27FC236}">
              <a16:creationId xmlns:a16="http://schemas.microsoft.com/office/drawing/2014/main" id="{5426BEA6-107D-450F-91D6-833EDAFF84C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04" name="Text 3">
          <a:extLst>
            <a:ext uri="{FF2B5EF4-FFF2-40B4-BE49-F238E27FC236}">
              <a16:creationId xmlns:a16="http://schemas.microsoft.com/office/drawing/2014/main" id="{79195DCF-8B0F-4310-B09C-22B7C867083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05" name="Text 3">
          <a:extLst>
            <a:ext uri="{FF2B5EF4-FFF2-40B4-BE49-F238E27FC236}">
              <a16:creationId xmlns:a16="http://schemas.microsoft.com/office/drawing/2014/main" id="{6FDD13B7-120F-462B-91DC-B22DE49F952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06" name="Text 3">
          <a:extLst>
            <a:ext uri="{FF2B5EF4-FFF2-40B4-BE49-F238E27FC236}">
              <a16:creationId xmlns:a16="http://schemas.microsoft.com/office/drawing/2014/main" id="{D5897D65-40C6-4F1F-A017-77FA24727F1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07" name="Text 3">
          <a:extLst>
            <a:ext uri="{FF2B5EF4-FFF2-40B4-BE49-F238E27FC236}">
              <a16:creationId xmlns:a16="http://schemas.microsoft.com/office/drawing/2014/main" id="{57D9F9C7-4B2A-4F5D-9D19-2DD47C8BF25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08" name="Text 3">
          <a:extLst>
            <a:ext uri="{FF2B5EF4-FFF2-40B4-BE49-F238E27FC236}">
              <a16:creationId xmlns:a16="http://schemas.microsoft.com/office/drawing/2014/main" id="{62DB4BA0-95B2-4BF9-8808-5981847121B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09" name="Text 3">
          <a:extLst>
            <a:ext uri="{FF2B5EF4-FFF2-40B4-BE49-F238E27FC236}">
              <a16:creationId xmlns:a16="http://schemas.microsoft.com/office/drawing/2014/main" id="{17FA6558-6469-4153-ACEE-A63D931D981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10" name="Text 3">
          <a:extLst>
            <a:ext uri="{FF2B5EF4-FFF2-40B4-BE49-F238E27FC236}">
              <a16:creationId xmlns:a16="http://schemas.microsoft.com/office/drawing/2014/main" id="{93AADB9E-F405-4B72-8370-EE194756E5C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11" name="Text 3">
          <a:extLst>
            <a:ext uri="{FF2B5EF4-FFF2-40B4-BE49-F238E27FC236}">
              <a16:creationId xmlns:a16="http://schemas.microsoft.com/office/drawing/2014/main" id="{EFA626BF-DC05-4333-A1A0-F3E35B79F6B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12" name="Text 3">
          <a:extLst>
            <a:ext uri="{FF2B5EF4-FFF2-40B4-BE49-F238E27FC236}">
              <a16:creationId xmlns:a16="http://schemas.microsoft.com/office/drawing/2014/main" id="{9BC23139-10B3-4871-8536-0D701F8F258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13" name="Text 3">
          <a:extLst>
            <a:ext uri="{FF2B5EF4-FFF2-40B4-BE49-F238E27FC236}">
              <a16:creationId xmlns:a16="http://schemas.microsoft.com/office/drawing/2014/main" id="{A9D93676-4256-4FD0-918D-D71966FEB9C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14" name="Text 3">
          <a:extLst>
            <a:ext uri="{FF2B5EF4-FFF2-40B4-BE49-F238E27FC236}">
              <a16:creationId xmlns:a16="http://schemas.microsoft.com/office/drawing/2014/main" id="{DE436AAD-737C-4BC9-968B-FE5E6B6B2D1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15" name="Text 3">
          <a:extLst>
            <a:ext uri="{FF2B5EF4-FFF2-40B4-BE49-F238E27FC236}">
              <a16:creationId xmlns:a16="http://schemas.microsoft.com/office/drawing/2014/main" id="{A94A291B-714A-458C-BEF1-9C7E4C2F4A7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16" name="Text 3">
          <a:extLst>
            <a:ext uri="{FF2B5EF4-FFF2-40B4-BE49-F238E27FC236}">
              <a16:creationId xmlns:a16="http://schemas.microsoft.com/office/drawing/2014/main" id="{A7194F8D-1E0D-4A8C-B108-1663C0F38C4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17" name="Text 3">
          <a:extLst>
            <a:ext uri="{FF2B5EF4-FFF2-40B4-BE49-F238E27FC236}">
              <a16:creationId xmlns:a16="http://schemas.microsoft.com/office/drawing/2014/main" id="{30E9FD0A-943A-48A8-A16D-CF33EF8E6F4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18" name="Text 3">
          <a:extLst>
            <a:ext uri="{FF2B5EF4-FFF2-40B4-BE49-F238E27FC236}">
              <a16:creationId xmlns:a16="http://schemas.microsoft.com/office/drawing/2014/main" id="{AB341580-7331-4D9E-AD7E-DD32000A329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19" name="Text 3">
          <a:extLst>
            <a:ext uri="{FF2B5EF4-FFF2-40B4-BE49-F238E27FC236}">
              <a16:creationId xmlns:a16="http://schemas.microsoft.com/office/drawing/2014/main" id="{4CA73ADA-0AB9-48FA-B265-998EA38BF70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20" name="Text 3">
          <a:extLst>
            <a:ext uri="{FF2B5EF4-FFF2-40B4-BE49-F238E27FC236}">
              <a16:creationId xmlns:a16="http://schemas.microsoft.com/office/drawing/2014/main" id="{E287A4F3-D618-4DDF-85F3-B01BED70EBA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21" name="Text 3">
          <a:extLst>
            <a:ext uri="{FF2B5EF4-FFF2-40B4-BE49-F238E27FC236}">
              <a16:creationId xmlns:a16="http://schemas.microsoft.com/office/drawing/2014/main" id="{6D45FCE1-68D5-44D6-B74D-E4E52D825C5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22" name="Text 3">
          <a:extLst>
            <a:ext uri="{FF2B5EF4-FFF2-40B4-BE49-F238E27FC236}">
              <a16:creationId xmlns:a16="http://schemas.microsoft.com/office/drawing/2014/main" id="{DDD5BE1C-36FD-4C95-82A0-5EC36D3664D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23" name="Text 3">
          <a:extLst>
            <a:ext uri="{FF2B5EF4-FFF2-40B4-BE49-F238E27FC236}">
              <a16:creationId xmlns:a16="http://schemas.microsoft.com/office/drawing/2014/main" id="{B459FBBF-AB5C-4E0E-9F41-E5002520430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24" name="Text 3">
          <a:extLst>
            <a:ext uri="{FF2B5EF4-FFF2-40B4-BE49-F238E27FC236}">
              <a16:creationId xmlns:a16="http://schemas.microsoft.com/office/drawing/2014/main" id="{7EEF2537-592F-427D-AE37-BF177A2E77D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25" name="Text 3">
          <a:extLst>
            <a:ext uri="{FF2B5EF4-FFF2-40B4-BE49-F238E27FC236}">
              <a16:creationId xmlns:a16="http://schemas.microsoft.com/office/drawing/2014/main" id="{CB002C70-DF99-41CA-99D9-667AA21BD35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26" name="Text 3">
          <a:extLst>
            <a:ext uri="{FF2B5EF4-FFF2-40B4-BE49-F238E27FC236}">
              <a16:creationId xmlns:a16="http://schemas.microsoft.com/office/drawing/2014/main" id="{D4B1C6C5-2419-4B82-B4E1-2DCEE65BACE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27" name="Text 3">
          <a:extLst>
            <a:ext uri="{FF2B5EF4-FFF2-40B4-BE49-F238E27FC236}">
              <a16:creationId xmlns:a16="http://schemas.microsoft.com/office/drawing/2014/main" id="{334DAB33-10E2-4F56-A15D-822E504485A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28" name="Text 3">
          <a:extLst>
            <a:ext uri="{FF2B5EF4-FFF2-40B4-BE49-F238E27FC236}">
              <a16:creationId xmlns:a16="http://schemas.microsoft.com/office/drawing/2014/main" id="{766456EB-9903-4176-BE6B-EF52116448A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29" name="Text 3">
          <a:extLst>
            <a:ext uri="{FF2B5EF4-FFF2-40B4-BE49-F238E27FC236}">
              <a16:creationId xmlns:a16="http://schemas.microsoft.com/office/drawing/2014/main" id="{8F1B0069-FE87-4596-A49D-44CBBA1EA87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30" name="Text 3">
          <a:extLst>
            <a:ext uri="{FF2B5EF4-FFF2-40B4-BE49-F238E27FC236}">
              <a16:creationId xmlns:a16="http://schemas.microsoft.com/office/drawing/2014/main" id="{CF527D39-F1A3-45DB-ACA8-96A8408290B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31" name="Text 3">
          <a:extLst>
            <a:ext uri="{FF2B5EF4-FFF2-40B4-BE49-F238E27FC236}">
              <a16:creationId xmlns:a16="http://schemas.microsoft.com/office/drawing/2014/main" id="{8538BBF0-06B7-4D07-9AC0-93FF1A1C5D9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32" name="Text 3">
          <a:extLst>
            <a:ext uri="{FF2B5EF4-FFF2-40B4-BE49-F238E27FC236}">
              <a16:creationId xmlns:a16="http://schemas.microsoft.com/office/drawing/2014/main" id="{F9F38891-F7F4-4F66-88D7-EAD2FAF1A9D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33" name="Text 3">
          <a:extLst>
            <a:ext uri="{FF2B5EF4-FFF2-40B4-BE49-F238E27FC236}">
              <a16:creationId xmlns:a16="http://schemas.microsoft.com/office/drawing/2014/main" id="{F7E1FB54-6CEE-4D41-AEE7-067381B4981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34" name="Text 3">
          <a:extLst>
            <a:ext uri="{FF2B5EF4-FFF2-40B4-BE49-F238E27FC236}">
              <a16:creationId xmlns:a16="http://schemas.microsoft.com/office/drawing/2014/main" id="{5FC225A1-9219-4F53-AFB3-E3E6EBA3E61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35" name="Text 3">
          <a:extLst>
            <a:ext uri="{FF2B5EF4-FFF2-40B4-BE49-F238E27FC236}">
              <a16:creationId xmlns:a16="http://schemas.microsoft.com/office/drawing/2014/main" id="{42574AC8-AD9B-4FFB-9A94-70ED0E70CDB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36" name="Text 3">
          <a:extLst>
            <a:ext uri="{FF2B5EF4-FFF2-40B4-BE49-F238E27FC236}">
              <a16:creationId xmlns:a16="http://schemas.microsoft.com/office/drawing/2014/main" id="{A7086C7F-0862-407D-9F53-2D39F93F91D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37" name="Text 3">
          <a:extLst>
            <a:ext uri="{FF2B5EF4-FFF2-40B4-BE49-F238E27FC236}">
              <a16:creationId xmlns:a16="http://schemas.microsoft.com/office/drawing/2014/main" id="{10C4AD91-05D3-4E0C-A217-1E45867C9B9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38" name="Text 3">
          <a:extLst>
            <a:ext uri="{FF2B5EF4-FFF2-40B4-BE49-F238E27FC236}">
              <a16:creationId xmlns:a16="http://schemas.microsoft.com/office/drawing/2014/main" id="{5AB77816-36D2-4CE3-9433-5C00CB01B90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39" name="Text 3">
          <a:extLst>
            <a:ext uri="{FF2B5EF4-FFF2-40B4-BE49-F238E27FC236}">
              <a16:creationId xmlns:a16="http://schemas.microsoft.com/office/drawing/2014/main" id="{D1DAF9BE-7EE6-48BE-A23C-D432E919DAC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40" name="Text 3">
          <a:extLst>
            <a:ext uri="{FF2B5EF4-FFF2-40B4-BE49-F238E27FC236}">
              <a16:creationId xmlns:a16="http://schemas.microsoft.com/office/drawing/2014/main" id="{307D3CE3-2175-444D-9071-D52DD2600E9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41" name="Text 3">
          <a:extLst>
            <a:ext uri="{FF2B5EF4-FFF2-40B4-BE49-F238E27FC236}">
              <a16:creationId xmlns:a16="http://schemas.microsoft.com/office/drawing/2014/main" id="{573980FB-1F2F-4A23-ACE4-D799AF9C689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42" name="Text 3">
          <a:extLst>
            <a:ext uri="{FF2B5EF4-FFF2-40B4-BE49-F238E27FC236}">
              <a16:creationId xmlns:a16="http://schemas.microsoft.com/office/drawing/2014/main" id="{886B7CC0-C027-4601-B62A-A697EB73E97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43" name="Text 3">
          <a:extLst>
            <a:ext uri="{FF2B5EF4-FFF2-40B4-BE49-F238E27FC236}">
              <a16:creationId xmlns:a16="http://schemas.microsoft.com/office/drawing/2014/main" id="{99B85DC9-217C-4059-A7FE-C4232C67503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44" name="Text 3">
          <a:extLst>
            <a:ext uri="{FF2B5EF4-FFF2-40B4-BE49-F238E27FC236}">
              <a16:creationId xmlns:a16="http://schemas.microsoft.com/office/drawing/2014/main" id="{9DBD060B-C7B7-4013-B65D-9C8B774141E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45" name="Text 3">
          <a:extLst>
            <a:ext uri="{FF2B5EF4-FFF2-40B4-BE49-F238E27FC236}">
              <a16:creationId xmlns:a16="http://schemas.microsoft.com/office/drawing/2014/main" id="{0ADD424E-83C4-4D4D-9DA3-2BE787FFF64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46" name="Text 3">
          <a:extLst>
            <a:ext uri="{FF2B5EF4-FFF2-40B4-BE49-F238E27FC236}">
              <a16:creationId xmlns:a16="http://schemas.microsoft.com/office/drawing/2014/main" id="{CBD47CAF-4D66-4B77-A071-8D90A34A014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47" name="Text 3">
          <a:extLst>
            <a:ext uri="{FF2B5EF4-FFF2-40B4-BE49-F238E27FC236}">
              <a16:creationId xmlns:a16="http://schemas.microsoft.com/office/drawing/2014/main" id="{DA6E199B-C1A0-4BB1-BEF1-F4742EB9432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48" name="Text 3">
          <a:extLst>
            <a:ext uri="{FF2B5EF4-FFF2-40B4-BE49-F238E27FC236}">
              <a16:creationId xmlns:a16="http://schemas.microsoft.com/office/drawing/2014/main" id="{07689D4F-8DBE-43E2-BD9A-351B34D5932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49" name="Text 3">
          <a:extLst>
            <a:ext uri="{FF2B5EF4-FFF2-40B4-BE49-F238E27FC236}">
              <a16:creationId xmlns:a16="http://schemas.microsoft.com/office/drawing/2014/main" id="{0AD56A17-CDED-4184-915E-A052F518D61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50" name="Text 3">
          <a:extLst>
            <a:ext uri="{FF2B5EF4-FFF2-40B4-BE49-F238E27FC236}">
              <a16:creationId xmlns:a16="http://schemas.microsoft.com/office/drawing/2014/main" id="{CBA39BE8-566B-476B-93F6-18C52635494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51" name="Text 3">
          <a:extLst>
            <a:ext uri="{FF2B5EF4-FFF2-40B4-BE49-F238E27FC236}">
              <a16:creationId xmlns:a16="http://schemas.microsoft.com/office/drawing/2014/main" id="{F6F1617C-3115-4FFE-8315-608794EABC5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52" name="Text 3">
          <a:extLst>
            <a:ext uri="{FF2B5EF4-FFF2-40B4-BE49-F238E27FC236}">
              <a16:creationId xmlns:a16="http://schemas.microsoft.com/office/drawing/2014/main" id="{75E3C8AA-27D8-4A8F-B46D-904C90F7EBE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53" name="Text 3">
          <a:extLst>
            <a:ext uri="{FF2B5EF4-FFF2-40B4-BE49-F238E27FC236}">
              <a16:creationId xmlns:a16="http://schemas.microsoft.com/office/drawing/2014/main" id="{8FF7482A-2378-4028-A7FC-8C9B703B2EB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54" name="Text 3">
          <a:extLst>
            <a:ext uri="{FF2B5EF4-FFF2-40B4-BE49-F238E27FC236}">
              <a16:creationId xmlns:a16="http://schemas.microsoft.com/office/drawing/2014/main" id="{3895DC2E-965E-494A-AFFE-328FE1E3317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55" name="Text 3">
          <a:extLst>
            <a:ext uri="{FF2B5EF4-FFF2-40B4-BE49-F238E27FC236}">
              <a16:creationId xmlns:a16="http://schemas.microsoft.com/office/drawing/2014/main" id="{C9767922-3C22-4232-9DC1-3EBD433BE5C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56" name="Text 3">
          <a:extLst>
            <a:ext uri="{FF2B5EF4-FFF2-40B4-BE49-F238E27FC236}">
              <a16:creationId xmlns:a16="http://schemas.microsoft.com/office/drawing/2014/main" id="{61BA2410-D77B-4AB0-8A14-31F6126C59A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57" name="Text 3">
          <a:extLst>
            <a:ext uri="{FF2B5EF4-FFF2-40B4-BE49-F238E27FC236}">
              <a16:creationId xmlns:a16="http://schemas.microsoft.com/office/drawing/2014/main" id="{CD997CA9-E914-44C4-9CC7-F6E3CA4FBE1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58" name="Text 3">
          <a:extLst>
            <a:ext uri="{FF2B5EF4-FFF2-40B4-BE49-F238E27FC236}">
              <a16:creationId xmlns:a16="http://schemas.microsoft.com/office/drawing/2014/main" id="{58EE1B3F-3B3F-44A7-90E2-4EE5E333C34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59" name="Text 3">
          <a:extLst>
            <a:ext uri="{FF2B5EF4-FFF2-40B4-BE49-F238E27FC236}">
              <a16:creationId xmlns:a16="http://schemas.microsoft.com/office/drawing/2014/main" id="{CDAB3090-5492-438A-BD5D-D8B01DA6D95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60" name="Text 3">
          <a:extLst>
            <a:ext uri="{FF2B5EF4-FFF2-40B4-BE49-F238E27FC236}">
              <a16:creationId xmlns:a16="http://schemas.microsoft.com/office/drawing/2014/main" id="{5EF7F6D4-AA37-4B6B-BABB-C477F08F27D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61" name="Text 3">
          <a:extLst>
            <a:ext uri="{FF2B5EF4-FFF2-40B4-BE49-F238E27FC236}">
              <a16:creationId xmlns:a16="http://schemas.microsoft.com/office/drawing/2014/main" id="{5AE60E71-42FE-4A9F-BB9F-94439A36B8B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62" name="Text 3">
          <a:extLst>
            <a:ext uri="{FF2B5EF4-FFF2-40B4-BE49-F238E27FC236}">
              <a16:creationId xmlns:a16="http://schemas.microsoft.com/office/drawing/2014/main" id="{FFCA3458-9DBD-493F-845F-03EE0EFFF58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63" name="Text 3">
          <a:extLst>
            <a:ext uri="{FF2B5EF4-FFF2-40B4-BE49-F238E27FC236}">
              <a16:creationId xmlns:a16="http://schemas.microsoft.com/office/drawing/2014/main" id="{5773FC9C-7E39-45ED-A1DB-CE9E046879D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64" name="Text 3">
          <a:extLst>
            <a:ext uri="{FF2B5EF4-FFF2-40B4-BE49-F238E27FC236}">
              <a16:creationId xmlns:a16="http://schemas.microsoft.com/office/drawing/2014/main" id="{B62AB187-1A30-41C5-AB16-EE2762C4B52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65" name="Text 3">
          <a:extLst>
            <a:ext uri="{FF2B5EF4-FFF2-40B4-BE49-F238E27FC236}">
              <a16:creationId xmlns:a16="http://schemas.microsoft.com/office/drawing/2014/main" id="{366A1B4D-9F6A-4765-BFFB-3B037C589E6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66" name="Text 3">
          <a:extLst>
            <a:ext uri="{FF2B5EF4-FFF2-40B4-BE49-F238E27FC236}">
              <a16:creationId xmlns:a16="http://schemas.microsoft.com/office/drawing/2014/main" id="{8562DA4E-E914-46CD-8EF5-2D7B30655AE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67" name="Text 3">
          <a:extLst>
            <a:ext uri="{FF2B5EF4-FFF2-40B4-BE49-F238E27FC236}">
              <a16:creationId xmlns:a16="http://schemas.microsoft.com/office/drawing/2014/main" id="{6D4D9FC8-4229-422C-AB79-4CBEDF82324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68" name="Text 3">
          <a:extLst>
            <a:ext uri="{FF2B5EF4-FFF2-40B4-BE49-F238E27FC236}">
              <a16:creationId xmlns:a16="http://schemas.microsoft.com/office/drawing/2014/main" id="{AC4C9224-AC10-44BF-989C-2C408E0237A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69" name="Text 3">
          <a:extLst>
            <a:ext uri="{FF2B5EF4-FFF2-40B4-BE49-F238E27FC236}">
              <a16:creationId xmlns:a16="http://schemas.microsoft.com/office/drawing/2014/main" id="{45D7BAB6-AD9A-4AAC-BFCB-59D66F88751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70" name="Text 3">
          <a:extLst>
            <a:ext uri="{FF2B5EF4-FFF2-40B4-BE49-F238E27FC236}">
              <a16:creationId xmlns:a16="http://schemas.microsoft.com/office/drawing/2014/main" id="{51E4565E-4517-44DE-8D0E-F6AAEACD277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71" name="Text 3">
          <a:extLst>
            <a:ext uri="{FF2B5EF4-FFF2-40B4-BE49-F238E27FC236}">
              <a16:creationId xmlns:a16="http://schemas.microsoft.com/office/drawing/2014/main" id="{EF096638-5D54-4410-BBEE-4CF6A6C4E7E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72" name="Text 3">
          <a:extLst>
            <a:ext uri="{FF2B5EF4-FFF2-40B4-BE49-F238E27FC236}">
              <a16:creationId xmlns:a16="http://schemas.microsoft.com/office/drawing/2014/main" id="{EBE07587-50A0-4655-917C-639B32AB8B6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73" name="Text 3">
          <a:extLst>
            <a:ext uri="{FF2B5EF4-FFF2-40B4-BE49-F238E27FC236}">
              <a16:creationId xmlns:a16="http://schemas.microsoft.com/office/drawing/2014/main" id="{3822F27D-DF25-4B97-A8C3-28BFEF1D485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74" name="Text 3">
          <a:extLst>
            <a:ext uri="{FF2B5EF4-FFF2-40B4-BE49-F238E27FC236}">
              <a16:creationId xmlns:a16="http://schemas.microsoft.com/office/drawing/2014/main" id="{35E094BB-6BB6-4E60-BE3C-89A3A9A20BB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75" name="Text 3">
          <a:extLst>
            <a:ext uri="{FF2B5EF4-FFF2-40B4-BE49-F238E27FC236}">
              <a16:creationId xmlns:a16="http://schemas.microsoft.com/office/drawing/2014/main" id="{DFCFCF6F-22B5-43A1-8B2E-0CF566161C4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76" name="Text 3">
          <a:extLst>
            <a:ext uri="{FF2B5EF4-FFF2-40B4-BE49-F238E27FC236}">
              <a16:creationId xmlns:a16="http://schemas.microsoft.com/office/drawing/2014/main" id="{928CB8D5-EB66-4652-AB14-896518981B9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77" name="Text 3">
          <a:extLst>
            <a:ext uri="{FF2B5EF4-FFF2-40B4-BE49-F238E27FC236}">
              <a16:creationId xmlns:a16="http://schemas.microsoft.com/office/drawing/2014/main" id="{207A426F-4BDB-41FF-B66F-E92D10DE4AE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78" name="Text 3">
          <a:extLst>
            <a:ext uri="{FF2B5EF4-FFF2-40B4-BE49-F238E27FC236}">
              <a16:creationId xmlns:a16="http://schemas.microsoft.com/office/drawing/2014/main" id="{7E6F84BA-19EC-4C3A-9C60-4EBA4731EB2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79" name="Text 3">
          <a:extLst>
            <a:ext uri="{FF2B5EF4-FFF2-40B4-BE49-F238E27FC236}">
              <a16:creationId xmlns:a16="http://schemas.microsoft.com/office/drawing/2014/main" id="{A2C77F02-1DAA-45F8-9C30-A7005995921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80" name="Text 3">
          <a:extLst>
            <a:ext uri="{FF2B5EF4-FFF2-40B4-BE49-F238E27FC236}">
              <a16:creationId xmlns:a16="http://schemas.microsoft.com/office/drawing/2014/main" id="{4DDB15B7-A9DF-489D-A094-B5747E2A072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81" name="Text 3">
          <a:extLst>
            <a:ext uri="{FF2B5EF4-FFF2-40B4-BE49-F238E27FC236}">
              <a16:creationId xmlns:a16="http://schemas.microsoft.com/office/drawing/2014/main" id="{560DB335-7155-4EF8-B0FF-707B3636B20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82" name="Text 3">
          <a:extLst>
            <a:ext uri="{FF2B5EF4-FFF2-40B4-BE49-F238E27FC236}">
              <a16:creationId xmlns:a16="http://schemas.microsoft.com/office/drawing/2014/main" id="{A2DC8406-8445-4F21-B662-4DC27DDB113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83" name="Text 3">
          <a:extLst>
            <a:ext uri="{FF2B5EF4-FFF2-40B4-BE49-F238E27FC236}">
              <a16:creationId xmlns:a16="http://schemas.microsoft.com/office/drawing/2014/main" id="{B80D1C92-E16D-45AC-9DF0-2FC84CEEF7A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84" name="Text 3">
          <a:extLst>
            <a:ext uri="{FF2B5EF4-FFF2-40B4-BE49-F238E27FC236}">
              <a16:creationId xmlns:a16="http://schemas.microsoft.com/office/drawing/2014/main" id="{6A4F6379-5D08-45BB-B1DB-9A31D0DAD99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85" name="Text 3">
          <a:extLst>
            <a:ext uri="{FF2B5EF4-FFF2-40B4-BE49-F238E27FC236}">
              <a16:creationId xmlns:a16="http://schemas.microsoft.com/office/drawing/2014/main" id="{7692AAB5-D462-404C-8F25-46C285FD15A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86" name="Text 3">
          <a:extLst>
            <a:ext uri="{FF2B5EF4-FFF2-40B4-BE49-F238E27FC236}">
              <a16:creationId xmlns:a16="http://schemas.microsoft.com/office/drawing/2014/main" id="{FF7A2524-A07A-4067-92C5-A5CAC743AB0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87" name="Text 3">
          <a:extLst>
            <a:ext uri="{FF2B5EF4-FFF2-40B4-BE49-F238E27FC236}">
              <a16:creationId xmlns:a16="http://schemas.microsoft.com/office/drawing/2014/main" id="{0B9D1461-E1A5-46D4-BAB1-31D8FB1B987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88" name="Text 3">
          <a:extLst>
            <a:ext uri="{FF2B5EF4-FFF2-40B4-BE49-F238E27FC236}">
              <a16:creationId xmlns:a16="http://schemas.microsoft.com/office/drawing/2014/main" id="{61EFB9CF-B4E9-40BC-9820-C95CDFB6F53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89" name="Text 3">
          <a:extLst>
            <a:ext uri="{FF2B5EF4-FFF2-40B4-BE49-F238E27FC236}">
              <a16:creationId xmlns:a16="http://schemas.microsoft.com/office/drawing/2014/main" id="{4B84666E-D36F-4C5B-95E2-9A10481E15B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90" name="Text 3">
          <a:extLst>
            <a:ext uri="{FF2B5EF4-FFF2-40B4-BE49-F238E27FC236}">
              <a16:creationId xmlns:a16="http://schemas.microsoft.com/office/drawing/2014/main" id="{B1C8A1F2-3AA6-4AE8-BB32-B7680713111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91" name="Text 3">
          <a:extLst>
            <a:ext uri="{FF2B5EF4-FFF2-40B4-BE49-F238E27FC236}">
              <a16:creationId xmlns:a16="http://schemas.microsoft.com/office/drawing/2014/main" id="{CABDA083-0820-4A33-987B-D19BA1095A9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92" name="Text 3">
          <a:extLst>
            <a:ext uri="{FF2B5EF4-FFF2-40B4-BE49-F238E27FC236}">
              <a16:creationId xmlns:a16="http://schemas.microsoft.com/office/drawing/2014/main" id="{D0D526CD-A006-4A29-94B8-BDEB6608B98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93" name="Text 3">
          <a:extLst>
            <a:ext uri="{FF2B5EF4-FFF2-40B4-BE49-F238E27FC236}">
              <a16:creationId xmlns:a16="http://schemas.microsoft.com/office/drawing/2014/main" id="{2559C165-3A92-4EB1-9462-09714606374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94" name="Text 3">
          <a:extLst>
            <a:ext uri="{FF2B5EF4-FFF2-40B4-BE49-F238E27FC236}">
              <a16:creationId xmlns:a16="http://schemas.microsoft.com/office/drawing/2014/main" id="{779CBB55-F8FB-4C99-9466-385B7A84926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95" name="Text 3">
          <a:extLst>
            <a:ext uri="{FF2B5EF4-FFF2-40B4-BE49-F238E27FC236}">
              <a16:creationId xmlns:a16="http://schemas.microsoft.com/office/drawing/2014/main" id="{E4EDB2E4-3509-44E2-AD68-A1A5D712E11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96" name="Text 3">
          <a:extLst>
            <a:ext uri="{FF2B5EF4-FFF2-40B4-BE49-F238E27FC236}">
              <a16:creationId xmlns:a16="http://schemas.microsoft.com/office/drawing/2014/main" id="{73B28F51-E427-424D-A064-778693A1DB6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97" name="Text 3">
          <a:extLst>
            <a:ext uri="{FF2B5EF4-FFF2-40B4-BE49-F238E27FC236}">
              <a16:creationId xmlns:a16="http://schemas.microsoft.com/office/drawing/2014/main" id="{3C7E28E1-5015-48F0-B390-0CCCC2B9EB8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98" name="Text 3">
          <a:extLst>
            <a:ext uri="{FF2B5EF4-FFF2-40B4-BE49-F238E27FC236}">
              <a16:creationId xmlns:a16="http://schemas.microsoft.com/office/drawing/2014/main" id="{E291C32D-1AF0-4CA8-B71B-FDC91D07785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99" name="Text 3">
          <a:extLst>
            <a:ext uri="{FF2B5EF4-FFF2-40B4-BE49-F238E27FC236}">
              <a16:creationId xmlns:a16="http://schemas.microsoft.com/office/drawing/2014/main" id="{758B16D8-5553-49B8-A60D-59E9E0F2270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00" name="Text 3">
          <a:extLst>
            <a:ext uri="{FF2B5EF4-FFF2-40B4-BE49-F238E27FC236}">
              <a16:creationId xmlns:a16="http://schemas.microsoft.com/office/drawing/2014/main" id="{84F5975A-F453-4EF8-8094-C17B680E856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01" name="Text 3">
          <a:extLst>
            <a:ext uri="{FF2B5EF4-FFF2-40B4-BE49-F238E27FC236}">
              <a16:creationId xmlns:a16="http://schemas.microsoft.com/office/drawing/2014/main" id="{A72552E9-8D26-4AD0-A6ED-1D5ED8E5DD8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02" name="Text 3">
          <a:extLst>
            <a:ext uri="{FF2B5EF4-FFF2-40B4-BE49-F238E27FC236}">
              <a16:creationId xmlns:a16="http://schemas.microsoft.com/office/drawing/2014/main" id="{D9E83D58-57A5-4371-AD42-08CBE5F4314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03" name="Text 3">
          <a:extLst>
            <a:ext uri="{FF2B5EF4-FFF2-40B4-BE49-F238E27FC236}">
              <a16:creationId xmlns:a16="http://schemas.microsoft.com/office/drawing/2014/main" id="{3A6FFD6E-B9A0-420D-A4A2-80B218F727C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04" name="Text 3">
          <a:extLst>
            <a:ext uri="{FF2B5EF4-FFF2-40B4-BE49-F238E27FC236}">
              <a16:creationId xmlns:a16="http://schemas.microsoft.com/office/drawing/2014/main" id="{9F7698EF-F13C-4F9C-ADF3-0FB9C5F58C9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05" name="Text 3">
          <a:extLst>
            <a:ext uri="{FF2B5EF4-FFF2-40B4-BE49-F238E27FC236}">
              <a16:creationId xmlns:a16="http://schemas.microsoft.com/office/drawing/2014/main" id="{D2465FD1-9AE6-4280-B0A9-B8AC4642BCB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06" name="Text 3">
          <a:extLst>
            <a:ext uri="{FF2B5EF4-FFF2-40B4-BE49-F238E27FC236}">
              <a16:creationId xmlns:a16="http://schemas.microsoft.com/office/drawing/2014/main" id="{2B609196-BE90-4230-A3C8-CE4A4E3EF00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07" name="Text 3">
          <a:extLst>
            <a:ext uri="{FF2B5EF4-FFF2-40B4-BE49-F238E27FC236}">
              <a16:creationId xmlns:a16="http://schemas.microsoft.com/office/drawing/2014/main" id="{7BB055CD-7D98-419A-9ABA-403FC141488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08" name="Text 3">
          <a:extLst>
            <a:ext uri="{FF2B5EF4-FFF2-40B4-BE49-F238E27FC236}">
              <a16:creationId xmlns:a16="http://schemas.microsoft.com/office/drawing/2014/main" id="{119F7DFB-6271-4CC8-9A57-DBF48D9E0AA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09" name="Text 3">
          <a:extLst>
            <a:ext uri="{FF2B5EF4-FFF2-40B4-BE49-F238E27FC236}">
              <a16:creationId xmlns:a16="http://schemas.microsoft.com/office/drawing/2014/main" id="{82DAD9E0-6E2B-458C-A625-3523F962871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10" name="Text 3">
          <a:extLst>
            <a:ext uri="{FF2B5EF4-FFF2-40B4-BE49-F238E27FC236}">
              <a16:creationId xmlns:a16="http://schemas.microsoft.com/office/drawing/2014/main" id="{F70C728E-5207-4180-BF9D-091D009BA73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11" name="Text 3">
          <a:extLst>
            <a:ext uri="{FF2B5EF4-FFF2-40B4-BE49-F238E27FC236}">
              <a16:creationId xmlns:a16="http://schemas.microsoft.com/office/drawing/2014/main" id="{076A930A-42E2-4A14-8B99-C7D7F04EC5B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12" name="Text 3">
          <a:extLst>
            <a:ext uri="{FF2B5EF4-FFF2-40B4-BE49-F238E27FC236}">
              <a16:creationId xmlns:a16="http://schemas.microsoft.com/office/drawing/2014/main" id="{C827B63F-BF10-4A32-872D-F83A1EC3608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13" name="Text 3">
          <a:extLst>
            <a:ext uri="{FF2B5EF4-FFF2-40B4-BE49-F238E27FC236}">
              <a16:creationId xmlns:a16="http://schemas.microsoft.com/office/drawing/2014/main" id="{C6313319-8236-472B-BD40-332EE22BA53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14" name="Text 3">
          <a:extLst>
            <a:ext uri="{FF2B5EF4-FFF2-40B4-BE49-F238E27FC236}">
              <a16:creationId xmlns:a16="http://schemas.microsoft.com/office/drawing/2014/main" id="{923255D4-B413-40F4-B827-F3343E35FB6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15" name="Text 3">
          <a:extLst>
            <a:ext uri="{FF2B5EF4-FFF2-40B4-BE49-F238E27FC236}">
              <a16:creationId xmlns:a16="http://schemas.microsoft.com/office/drawing/2014/main" id="{ACD6C7FF-FCAF-4574-84E9-70DFAA6DE76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16" name="Text 3">
          <a:extLst>
            <a:ext uri="{FF2B5EF4-FFF2-40B4-BE49-F238E27FC236}">
              <a16:creationId xmlns:a16="http://schemas.microsoft.com/office/drawing/2014/main" id="{1506EBE3-A79C-4419-A569-6599BA42C6A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17" name="Text 3">
          <a:extLst>
            <a:ext uri="{FF2B5EF4-FFF2-40B4-BE49-F238E27FC236}">
              <a16:creationId xmlns:a16="http://schemas.microsoft.com/office/drawing/2014/main" id="{B6CE85CA-9897-4EA1-82C9-D807439BB12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18" name="Text 3">
          <a:extLst>
            <a:ext uri="{FF2B5EF4-FFF2-40B4-BE49-F238E27FC236}">
              <a16:creationId xmlns:a16="http://schemas.microsoft.com/office/drawing/2014/main" id="{B2CA5A40-CEDE-4114-A736-020EB5DD940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19" name="Text 3">
          <a:extLst>
            <a:ext uri="{FF2B5EF4-FFF2-40B4-BE49-F238E27FC236}">
              <a16:creationId xmlns:a16="http://schemas.microsoft.com/office/drawing/2014/main" id="{5DA17673-C0FE-49CD-9E62-B8B19613748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20" name="Text 3">
          <a:extLst>
            <a:ext uri="{FF2B5EF4-FFF2-40B4-BE49-F238E27FC236}">
              <a16:creationId xmlns:a16="http://schemas.microsoft.com/office/drawing/2014/main" id="{4C9BDE00-6B8A-4A6D-86D0-633CB2BD3E0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21" name="Text 3">
          <a:extLst>
            <a:ext uri="{FF2B5EF4-FFF2-40B4-BE49-F238E27FC236}">
              <a16:creationId xmlns:a16="http://schemas.microsoft.com/office/drawing/2014/main" id="{5006269F-31D1-43A1-A043-66A7F4DE9F6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22" name="Text 3">
          <a:extLst>
            <a:ext uri="{FF2B5EF4-FFF2-40B4-BE49-F238E27FC236}">
              <a16:creationId xmlns:a16="http://schemas.microsoft.com/office/drawing/2014/main" id="{8AEA2201-CF72-433C-AD89-A9B4966F7EC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23" name="Text 3">
          <a:extLst>
            <a:ext uri="{FF2B5EF4-FFF2-40B4-BE49-F238E27FC236}">
              <a16:creationId xmlns:a16="http://schemas.microsoft.com/office/drawing/2014/main" id="{643606FE-B40B-4E8C-A58B-196CCF8384D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24" name="Text 3">
          <a:extLst>
            <a:ext uri="{FF2B5EF4-FFF2-40B4-BE49-F238E27FC236}">
              <a16:creationId xmlns:a16="http://schemas.microsoft.com/office/drawing/2014/main" id="{9FA2B745-3D8E-4072-AA00-39A59F1A2A3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25" name="Text 3">
          <a:extLst>
            <a:ext uri="{FF2B5EF4-FFF2-40B4-BE49-F238E27FC236}">
              <a16:creationId xmlns:a16="http://schemas.microsoft.com/office/drawing/2014/main" id="{AA51F0CF-899C-4453-9A3D-038414C1442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26" name="Text 3">
          <a:extLst>
            <a:ext uri="{FF2B5EF4-FFF2-40B4-BE49-F238E27FC236}">
              <a16:creationId xmlns:a16="http://schemas.microsoft.com/office/drawing/2014/main" id="{F34F3E32-1C73-4BE8-AE01-0AB6870AF66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27" name="Text 3">
          <a:extLst>
            <a:ext uri="{FF2B5EF4-FFF2-40B4-BE49-F238E27FC236}">
              <a16:creationId xmlns:a16="http://schemas.microsoft.com/office/drawing/2014/main" id="{75CC5799-19F3-48A8-BC59-760021988C0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28" name="Text 3">
          <a:extLst>
            <a:ext uri="{FF2B5EF4-FFF2-40B4-BE49-F238E27FC236}">
              <a16:creationId xmlns:a16="http://schemas.microsoft.com/office/drawing/2014/main" id="{6FBDE1C7-FA5F-4A9F-9064-BE49E7D0D88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29" name="Text 3">
          <a:extLst>
            <a:ext uri="{FF2B5EF4-FFF2-40B4-BE49-F238E27FC236}">
              <a16:creationId xmlns:a16="http://schemas.microsoft.com/office/drawing/2014/main" id="{85FCC6B5-D839-41C7-91CD-27F7E44A12A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30" name="Text 3">
          <a:extLst>
            <a:ext uri="{FF2B5EF4-FFF2-40B4-BE49-F238E27FC236}">
              <a16:creationId xmlns:a16="http://schemas.microsoft.com/office/drawing/2014/main" id="{B2C0DD2A-7643-4D1B-B779-02DC041D296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31" name="Text 3">
          <a:extLst>
            <a:ext uri="{FF2B5EF4-FFF2-40B4-BE49-F238E27FC236}">
              <a16:creationId xmlns:a16="http://schemas.microsoft.com/office/drawing/2014/main" id="{2AA820DF-9771-4A93-B5A7-6C287BCDE04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32" name="Text 3">
          <a:extLst>
            <a:ext uri="{FF2B5EF4-FFF2-40B4-BE49-F238E27FC236}">
              <a16:creationId xmlns:a16="http://schemas.microsoft.com/office/drawing/2014/main" id="{467F8BA1-FB80-4013-9406-FD7DEDF6CB7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33" name="Text 3">
          <a:extLst>
            <a:ext uri="{FF2B5EF4-FFF2-40B4-BE49-F238E27FC236}">
              <a16:creationId xmlns:a16="http://schemas.microsoft.com/office/drawing/2014/main" id="{D7776DBE-7988-470E-BA62-5A7B06B4ACF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34" name="Text 3">
          <a:extLst>
            <a:ext uri="{FF2B5EF4-FFF2-40B4-BE49-F238E27FC236}">
              <a16:creationId xmlns:a16="http://schemas.microsoft.com/office/drawing/2014/main" id="{CFEF3BDB-F555-4C5F-9186-9F43E69CFE2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35" name="Text 3">
          <a:extLst>
            <a:ext uri="{FF2B5EF4-FFF2-40B4-BE49-F238E27FC236}">
              <a16:creationId xmlns:a16="http://schemas.microsoft.com/office/drawing/2014/main" id="{2714E23D-77FE-417E-96EC-E0401591787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36" name="Text 3">
          <a:extLst>
            <a:ext uri="{FF2B5EF4-FFF2-40B4-BE49-F238E27FC236}">
              <a16:creationId xmlns:a16="http://schemas.microsoft.com/office/drawing/2014/main" id="{7EC80349-A518-4E0D-9CAA-12F480386DC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37" name="Text 3">
          <a:extLst>
            <a:ext uri="{FF2B5EF4-FFF2-40B4-BE49-F238E27FC236}">
              <a16:creationId xmlns:a16="http://schemas.microsoft.com/office/drawing/2014/main" id="{0A314735-3E62-421F-9841-16DB06348A5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38" name="Text 3">
          <a:extLst>
            <a:ext uri="{FF2B5EF4-FFF2-40B4-BE49-F238E27FC236}">
              <a16:creationId xmlns:a16="http://schemas.microsoft.com/office/drawing/2014/main" id="{AE4B3AE9-BDC0-468F-84B2-8B17D056D4A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39" name="Text 3">
          <a:extLst>
            <a:ext uri="{FF2B5EF4-FFF2-40B4-BE49-F238E27FC236}">
              <a16:creationId xmlns:a16="http://schemas.microsoft.com/office/drawing/2014/main" id="{A8928DCE-858E-4511-9460-7F984E7E1B8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40" name="Text 3">
          <a:extLst>
            <a:ext uri="{FF2B5EF4-FFF2-40B4-BE49-F238E27FC236}">
              <a16:creationId xmlns:a16="http://schemas.microsoft.com/office/drawing/2014/main" id="{FB12D546-4AC4-4E05-AF5B-9A0D713AB43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41" name="Text 3">
          <a:extLst>
            <a:ext uri="{FF2B5EF4-FFF2-40B4-BE49-F238E27FC236}">
              <a16:creationId xmlns:a16="http://schemas.microsoft.com/office/drawing/2014/main" id="{37668443-83AD-4E61-A943-70B411F3A15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42" name="Text 3">
          <a:extLst>
            <a:ext uri="{FF2B5EF4-FFF2-40B4-BE49-F238E27FC236}">
              <a16:creationId xmlns:a16="http://schemas.microsoft.com/office/drawing/2014/main" id="{CDE24E0B-CADF-4E67-89A2-04ACD23A90B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43" name="Text 3">
          <a:extLst>
            <a:ext uri="{FF2B5EF4-FFF2-40B4-BE49-F238E27FC236}">
              <a16:creationId xmlns:a16="http://schemas.microsoft.com/office/drawing/2014/main" id="{CB40F4A6-70DF-41AC-9DB0-1E3433B1624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44" name="Text 3">
          <a:extLst>
            <a:ext uri="{FF2B5EF4-FFF2-40B4-BE49-F238E27FC236}">
              <a16:creationId xmlns:a16="http://schemas.microsoft.com/office/drawing/2014/main" id="{8FB21EBD-836F-43BA-B4D5-8378521D4A6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45" name="Text 3">
          <a:extLst>
            <a:ext uri="{FF2B5EF4-FFF2-40B4-BE49-F238E27FC236}">
              <a16:creationId xmlns:a16="http://schemas.microsoft.com/office/drawing/2014/main" id="{BE553842-ECDD-4A52-AB67-6897E2AC496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46" name="Text 3">
          <a:extLst>
            <a:ext uri="{FF2B5EF4-FFF2-40B4-BE49-F238E27FC236}">
              <a16:creationId xmlns:a16="http://schemas.microsoft.com/office/drawing/2014/main" id="{1953C854-66A4-40E6-9EED-88E73DF5140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47" name="Text 3">
          <a:extLst>
            <a:ext uri="{FF2B5EF4-FFF2-40B4-BE49-F238E27FC236}">
              <a16:creationId xmlns:a16="http://schemas.microsoft.com/office/drawing/2014/main" id="{65FB6352-929E-4BA9-9AB6-3D7896CD2CB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48" name="Text 3">
          <a:extLst>
            <a:ext uri="{FF2B5EF4-FFF2-40B4-BE49-F238E27FC236}">
              <a16:creationId xmlns:a16="http://schemas.microsoft.com/office/drawing/2014/main" id="{DFE8C0A4-4D3A-4235-8F40-3BC3F69C9D3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49" name="Text 3">
          <a:extLst>
            <a:ext uri="{FF2B5EF4-FFF2-40B4-BE49-F238E27FC236}">
              <a16:creationId xmlns:a16="http://schemas.microsoft.com/office/drawing/2014/main" id="{B61688E2-6514-4C42-8D4E-70C4B9B32E2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50" name="Text 3">
          <a:extLst>
            <a:ext uri="{FF2B5EF4-FFF2-40B4-BE49-F238E27FC236}">
              <a16:creationId xmlns:a16="http://schemas.microsoft.com/office/drawing/2014/main" id="{E0BA1CC8-8B07-421D-83CD-499D2734A5E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51" name="Text 3">
          <a:extLst>
            <a:ext uri="{FF2B5EF4-FFF2-40B4-BE49-F238E27FC236}">
              <a16:creationId xmlns:a16="http://schemas.microsoft.com/office/drawing/2014/main" id="{3A7F69CF-10E5-4D63-8CE8-50370C9689D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52" name="Text 3">
          <a:extLst>
            <a:ext uri="{FF2B5EF4-FFF2-40B4-BE49-F238E27FC236}">
              <a16:creationId xmlns:a16="http://schemas.microsoft.com/office/drawing/2014/main" id="{BD92C135-FC98-4DDA-8185-23CC86B12C0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53" name="Text 3">
          <a:extLst>
            <a:ext uri="{FF2B5EF4-FFF2-40B4-BE49-F238E27FC236}">
              <a16:creationId xmlns:a16="http://schemas.microsoft.com/office/drawing/2014/main" id="{889745C8-7BDB-4F07-B03D-C076FE1B30F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54" name="Text 3">
          <a:extLst>
            <a:ext uri="{FF2B5EF4-FFF2-40B4-BE49-F238E27FC236}">
              <a16:creationId xmlns:a16="http://schemas.microsoft.com/office/drawing/2014/main" id="{6DEF231A-168C-457B-82AB-3ED75DC39EA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55" name="Text 3">
          <a:extLst>
            <a:ext uri="{FF2B5EF4-FFF2-40B4-BE49-F238E27FC236}">
              <a16:creationId xmlns:a16="http://schemas.microsoft.com/office/drawing/2014/main" id="{555EB131-7408-4796-B59F-CB76ABBA518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56" name="Text 3">
          <a:extLst>
            <a:ext uri="{FF2B5EF4-FFF2-40B4-BE49-F238E27FC236}">
              <a16:creationId xmlns:a16="http://schemas.microsoft.com/office/drawing/2014/main" id="{6918256F-9C6A-40E7-A98A-E120294E423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57" name="Text 3">
          <a:extLst>
            <a:ext uri="{FF2B5EF4-FFF2-40B4-BE49-F238E27FC236}">
              <a16:creationId xmlns:a16="http://schemas.microsoft.com/office/drawing/2014/main" id="{C986220B-3495-46A5-801E-A114BA344B3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58" name="Text 3">
          <a:extLst>
            <a:ext uri="{FF2B5EF4-FFF2-40B4-BE49-F238E27FC236}">
              <a16:creationId xmlns:a16="http://schemas.microsoft.com/office/drawing/2014/main" id="{2E61DB2B-B19C-4A41-8624-C5FCD16D3CA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59" name="Text 3">
          <a:extLst>
            <a:ext uri="{FF2B5EF4-FFF2-40B4-BE49-F238E27FC236}">
              <a16:creationId xmlns:a16="http://schemas.microsoft.com/office/drawing/2014/main" id="{077DF411-3880-4817-98F4-F8646C55B34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60" name="Text 3">
          <a:extLst>
            <a:ext uri="{FF2B5EF4-FFF2-40B4-BE49-F238E27FC236}">
              <a16:creationId xmlns:a16="http://schemas.microsoft.com/office/drawing/2014/main" id="{0C35A6B6-7E7F-430E-94B9-2FFF6BB5EF0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61" name="Text 3">
          <a:extLst>
            <a:ext uri="{FF2B5EF4-FFF2-40B4-BE49-F238E27FC236}">
              <a16:creationId xmlns:a16="http://schemas.microsoft.com/office/drawing/2014/main" id="{BA105781-F914-43A7-9EF4-D5563EC5ADF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62" name="Text 3">
          <a:extLst>
            <a:ext uri="{FF2B5EF4-FFF2-40B4-BE49-F238E27FC236}">
              <a16:creationId xmlns:a16="http://schemas.microsoft.com/office/drawing/2014/main" id="{FE664DA6-B084-45C8-ADB0-D41E3B96CBC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63" name="Text 3">
          <a:extLst>
            <a:ext uri="{FF2B5EF4-FFF2-40B4-BE49-F238E27FC236}">
              <a16:creationId xmlns:a16="http://schemas.microsoft.com/office/drawing/2014/main" id="{A4633C0B-CB3F-4574-B831-ABE64CDD1C1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64" name="Text 3">
          <a:extLst>
            <a:ext uri="{FF2B5EF4-FFF2-40B4-BE49-F238E27FC236}">
              <a16:creationId xmlns:a16="http://schemas.microsoft.com/office/drawing/2014/main" id="{8B901515-529B-43A8-B92D-24D3DACD9A4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65" name="Text 3">
          <a:extLst>
            <a:ext uri="{FF2B5EF4-FFF2-40B4-BE49-F238E27FC236}">
              <a16:creationId xmlns:a16="http://schemas.microsoft.com/office/drawing/2014/main" id="{D5A481D6-A4B8-4FF1-AE43-F3FB17038AC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66" name="Text 3">
          <a:extLst>
            <a:ext uri="{FF2B5EF4-FFF2-40B4-BE49-F238E27FC236}">
              <a16:creationId xmlns:a16="http://schemas.microsoft.com/office/drawing/2014/main" id="{51FC926B-A214-4BEE-B04F-9D7ED4A9DDA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67" name="Text 3">
          <a:extLst>
            <a:ext uri="{FF2B5EF4-FFF2-40B4-BE49-F238E27FC236}">
              <a16:creationId xmlns:a16="http://schemas.microsoft.com/office/drawing/2014/main" id="{B95F7B07-78F6-4E2B-AD1C-0782C99D547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68" name="Text 3">
          <a:extLst>
            <a:ext uri="{FF2B5EF4-FFF2-40B4-BE49-F238E27FC236}">
              <a16:creationId xmlns:a16="http://schemas.microsoft.com/office/drawing/2014/main" id="{77DE81EC-39E2-4FEA-AE24-D42A8F532DD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69" name="Text 3">
          <a:extLst>
            <a:ext uri="{FF2B5EF4-FFF2-40B4-BE49-F238E27FC236}">
              <a16:creationId xmlns:a16="http://schemas.microsoft.com/office/drawing/2014/main" id="{2916C502-2450-44CB-8F01-866D437B9A9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70" name="Text 3">
          <a:extLst>
            <a:ext uri="{FF2B5EF4-FFF2-40B4-BE49-F238E27FC236}">
              <a16:creationId xmlns:a16="http://schemas.microsoft.com/office/drawing/2014/main" id="{653B43FB-5F8A-4D2E-9639-54D66E83E0F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71" name="Text 3">
          <a:extLst>
            <a:ext uri="{FF2B5EF4-FFF2-40B4-BE49-F238E27FC236}">
              <a16:creationId xmlns:a16="http://schemas.microsoft.com/office/drawing/2014/main" id="{BBBC3F18-3A37-45C8-917C-A1DC3637813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72" name="Text 3">
          <a:extLst>
            <a:ext uri="{FF2B5EF4-FFF2-40B4-BE49-F238E27FC236}">
              <a16:creationId xmlns:a16="http://schemas.microsoft.com/office/drawing/2014/main" id="{466E78B6-5408-4145-9ADD-14445B7CC53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73" name="Text 3">
          <a:extLst>
            <a:ext uri="{FF2B5EF4-FFF2-40B4-BE49-F238E27FC236}">
              <a16:creationId xmlns:a16="http://schemas.microsoft.com/office/drawing/2014/main" id="{61315672-E3A3-4D41-910D-EF07DDDD926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74" name="Text 3">
          <a:extLst>
            <a:ext uri="{FF2B5EF4-FFF2-40B4-BE49-F238E27FC236}">
              <a16:creationId xmlns:a16="http://schemas.microsoft.com/office/drawing/2014/main" id="{BD6FE140-8FED-412E-91B8-2318CBBA110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75" name="Text 3">
          <a:extLst>
            <a:ext uri="{FF2B5EF4-FFF2-40B4-BE49-F238E27FC236}">
              <a16:creationId xmlns:a16="http://schemas.microsoft.com/office/drawing/2014/main" id="{CEE302DC-00E2-490A-9097-3B450D27F50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76" name="Text 3">
          <a:extLst>
            <a:ext uri="{FF2B5EF4-FFF2-40B4-BE49-F238E27FC236}">
              <a16:creationId xmlns:a16="http://schemas.microsoft.com/office/drawing/2014/main" id="{47253C54-8FF3-44ED-BF3C-F32ADEEF558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77" name="Text 3">
          <a:extLst>
            <a:ext uri="{FF2B5EF4-FFF2-40B4-BE49-F238E27FC236}">
              <a16:creationId xmlns:a16="http://schemas.microsoft.com/office/drawing/2014/main" id="{7E551285-D451-4194-95A6-DCB442FCB2A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78" name="Text 3">
          <a:extLst>
            <a:ext uri="{FF2B5EF4-FFF2-40B4-BE49-F238E27FC236}">
              <a16:creationId xmlns:a16="http://schemas.microsoft.com/office/drawing/2014/main" id="{6894BAAB-5640-416F-A8F4-1DA4A907715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79" name="Text 3">
          <a:extLst>
            <a:ext uri="{FF2B5EF4-FFF2-40B4-BE49-F238E27FC236}">
              <a16:creationId xmlns:a16="http://schemas.microsoft.com/office/drawing/2014/main" id="{C93760AB-1974-48C0-8B08-EE1595072C7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80" name="Text 3">
          <a:extLst>
            <a:ext uri="{FF2B5EF4-FFF2-40B4-BE49-F238E27FC236}">
              <a16:creationId xmlns:a16="http://schemas.microsoft.com/office/drawing/2014/main" id="{5E5C143F-0487-4E5B-B25D-7448FA218EB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81" name="Text 3">
          <a:extLst>
            <a:ext uri="{FF2B5EF4-FFF2-40B4-BE49-F238E27FC236}">
              <a16:creationId xmlns:a16="http://schemas.microsoft.com/office/drawing/2014/main" id="{0A777B2A-E9F2-48E2-B00D-9775DA36D77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82" name="Text 3">
          <a:extLst>
            <a:ext uri="{FF2B5EF4-FFF2-40B4-BE49-F238E27FC236}">
              <a16:creationId xmlns:a16="http://schemas.microsoft.com/office/drawing/2014/main" id="{A0122676-BA65-4E7A-8EF7-E0C78991DC9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83" name="Text 3">
          <a:extLst>
            <a:ext uri="{FF2B5EF4-FFF2-40B4-BE49-F238E27FC236}">
              <a16:creationId xmlns:a16="http://schemas.microsoft.com/office/drawing/2014/main" id="{F06FA4F8-A4C6-4967-AE1F-FC5CE8A117A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84" name="Text 3">
          <a:extLst>
            <a:ext uri="{FF2B5EF4-FFF2-40B4-BE49-F238E27FC236}">
              <a16:creationId xmlns:a16="http://schemas.microsoft.com/office/drawing/2014/main" id="{BAB50F60-01E2-4827-9041-870D574D847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85" name="Text 3">
          <a:extLst>
            <a:ext uri="{FF2B5EF4-FFF2-40B4-BE49-F238E27FC236}">
              <a16:creationId xmlns:a16="http://schemas.microsoft.com/office/drawing/2014/main" id="{06CF89F3-DB2C-4761-B47E-112B0BD1F33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86" name="Text 3">
          <a:extLst>
            <a:ext uri="{FF2B5EF4-FFF2-40B4-BE49-F238E27FC236}">
              <a16:creationId xmlns:a16="http://schemas.microsoft.com/office/drawing/2014/main" id="{88B1108C-0387-4ECB-9B75-B2ACBF330AF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87" name="Text 3">
          <a:extLst>
            <a:ext uri="{FF2B5EF4-FFF2-40B4-BE49-F238E27FC236}">
              <a16:creationId xmlns:a16="http://schemas.microsoft.com/office/drawing/2014/main" id="{32A20672-5982-472A-8A14-5B6439B3E59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88" name="Text 3">
          <a:extLst>
            <a:ext uri="{FF2B5EF4-FFF2-40B4-BE49-F238E27FC236}">
              <a16:creationId xmlns:a16="http://schemas.microsoft.com/office/drawing/2014/main" id="{E8225EFE-95D4-4479-8BEB-4E818E7FBEE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89" name="Text 3">
          <a:extLst>
            <a:ext uri="{FF2B5EF4-FFF2-40B4-BE49-F238E27FC236}">
              <a16:creationId xmlns:a16="http://schemas.microsoft.com/office/drawing/2014/main" id="{3622B2C7-6E07-4FD5-B872-C6ABF118679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90" name="Text 3">
          <a:extLst>
            <a:ext uri="{FF2B5EF4-FFF2-40B4-BE49-F238E27FC236}">
              <a16:creationId xmlns:a16="http://schemas.microsoft.com/office/drawing/2014/main" id="{A9AAB2E6-5298-4401-BDDA-9863AB37B9B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91" name="Text 3">
          <a:extLst>
            <a:ext uri="{FF2B5EF4-FFF2-40B4-BE49-F238E27FC236}">
              <a16:creationId xmlns:a16="http://schemas.microsoft.com/office/drawing/2014/main" id="{9D5D13FA-DF06-423D-84B3-C1FBD085E11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92" name="Text 3">
          <a:extLst>
            <a:ext uri="{FF2B5EF4-FFF2-40B4-BE49-F238E27FC236}">
              <a16:creationId xmlns:a16="http://schemas.microsoft.com/office/drawing/2014/main" id="{031A8D4F-0E41-411B-9767-E8932CD7128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93" name="Text 3">
          <a:extLst>
            <a:ext uri="{FF2B5EF4-FFF2-40B4-BE49-F238E27FC236}">
              <a16:creationId xmlns:a16="http://schemas.microsoft.com/office/drawing/2014/main" id="{4E221C8F-2E87-4BFD-B65D-C020055B556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94" name="Text 3">
          <a:extLst>
            <a:ext uri="{FF2B5EF4-FFF2-40B4-BE49-F238E27FC236}">
              <a16:creationId xmlns:a16="http://schemas.microsoft.com/office/drawing/2014/main" id="{688DE0F5-CCE8-49C4-B65E-EDF7054A70F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95" name="Text 3">
          <a:extLst>
            <a:ext uri="{FF2B5EF4-FFF2-40B4-BE49-F238E27FC236}">
              <a16:creationId xmlns:a16="http://schemas.microsoft.com/office/drawing/2014/main" id="{0444F9B5-443D-4DF9-99ED-88E77EEBC76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96" name="Text 3">
          <a:extLst>
            <a:ext uri="{FF2B5EF4-FFF2-40B4-BE49-F238E27FC236}">
              <a16:creationId xmlns:a16="http://schemas.microsoft.com/office/drawing/2014/main" id="{E8D618D4-8C5E-4242-9022-55D090FE7AA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97" name="Text 3">
          <a:extLst>
            <a:ext uri="{FF2B5EF4-FFF2-40B4-BE49-F238E27FC236}">
              <a16:creationId xmlns:a16="http://schemas.microsoft.com/office/drawing/2014/main" id="{49D469A7-35EC-4A92-92C7-F557BC74252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98" name="Text 3">
          <a:extLst>
            <a:ext uri="{FF2B5EF4-FFF2-40B4-BE49-F238E27FC236}">
              <a16:creationId xmlns:a16="http://schemas.microsoft.com/office/drawing/2014/main" id="{9E6CFD59-C564-4694-B2C3-1ACED20C8B1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99" name="Text 3">
          <a:extLst>
            <a:ext uri="{FF2B5EF4-FFF2-40B4-BE49-F238E27FC236}">
              <a16:creationId xmlns:a16="http://schemas.microsoft.com/office/drawing/2014/main" id="{C69EE2E5-FA86-468D-96DE-02749A621EB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00" name="Text 3">
          <a:extLst>
            <a:ext uri="{FF2B5EF4-FFF2-40B4-BE49-F238E27FC236}">
              <a16:creationId xmlns:a16="http://schemas.microsoft.com/office/drawing/2014/main" id="{6658A07E-A188-43A6-A699-937AE574B2D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01" name="Text 3">
          <a:extLst>
            <a:ext uri="{FF2B5EF4-FFF2-40B4-BE49-F238E27FC236}">
              <a16:creationId xmlns:a16="http://schemas.microsoft.com/office/drawing/2014/main" id="{FE395E55-72BE-4A0D-9A92-3DC944EB2F4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02" name="Text 3">
          <a:extLst>
            <a:ext uri="{FF2B5EF4-FFF2-40B4-BE49-F238E27FC236}">
              <a16:creationId xmlns:a16="http://schemas.microsoft.com/office/drawing/2014/main" id="{B8938734-370B-4851-B3A6-95D3B4CAC7D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03" name="Text 3">
          <a:extLst>
            <a:ext uri="{FF2B5EF4-FFF2-40B4-BE49-F238E27FC236}">
              <a16:creationId xmlns:a16="http://schemas.microsoft.com/office/drawing/2014/main" id="{C395CFBA-320B-4BED-BC95-0640CD1B5EA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04" name="Text 3">
          <a:extLst>
            <a:ext uri="{FF2B5EF4-FFF2-40B4-BE49-F238E27FC236}">
              <a16:creationId xmlns:a16="http://schemas.microsoft.com/office/drawing/2014/main" id="{04820403-A69A-4F86-94DF-7C3B0EC678A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05" name="Text 3">
          <a:extLst>
            <a:ext uri="{FF2B5EF4-FFF2-40B4-BE49-F238E27FC236}">
              <a16:creationId xmlns:a16="http://schemas.microsoft.com/office/drawing/2014/main" id="{0262DE97-48ED-47D6-B80F-F6D8DC86DDB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06" name="Text 3">
          <a:extLst>
            <a:ext uri="{FF2B5EF4-FFF2-40B4-BE49-F238E27FC236}">
              <a16:creationId xmlns:a16="http://schemas.microsoft.com/office/drawing/2014/main" id="{3C9FFC54-C611-4D4A-87D6-D21084E2E54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07" name="Text 3">
          <a:extLst>
            <a:ext uri="{FF2B5EF4-FFF2-40B4-BE49-F238E27FC236}">
              <a16:creationId xmlns:a16="http://schemas.microsoft.com/office/drawing/2014/main" id="{AEC87140-2D02-45DC-880B-73FC9160AA1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08" name="Text 3">
          <a:extLst>
            <a:ext uri="{FF2B5EF4-FFF2-40B4-BE49-F238E27FC236}">
              <a16:creationId xmlns:a16="http://schemas.microsoft.com/office/drawing/2014/main" id="{1E1A5349-E8CC-4E1E-8FAD-179694E40E2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09" name="Text 3">
          <a:extLst>
            <a:ext uri="{FF2B5EF4-FFF2-40B4-BE49-F238E27FC236}">
              <a16:creationId xmlns:a16="http://schemas.microsoft.com/office/drawing/2014/main" id="{598B01C8-2336-424C-8C96-586281F9923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10" name="Text 3">
          <a:extLst>
            <a:ext uri="{FF2B5EF4-FFF2-40B4-BE49-F238E27FC236}">
              <a16:creationId xmlns:a16="http://schemas.microsoft.com/office/drawing/2014/main" id="{53378F95-299E-4C82-ACCE-AD9C24CB575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11" name="Text 3">
          <a:extLst>
            <a:ext uri="{FF2B5EF4-FFF2-40B4-BE49-F238E27FC236}">
              <a16:creationId xmlns:a16="http://schemas.microsoft.com/office/drawing/2014/main" id="{FA7F112A-EE69-4533-BA49-90BFFD693B3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12" name="Text 3">
          <a:extLst>
            <a:ext uri="{FF2B5EF4-FFF2-40B4-BE49-F238E27FC236}">
              <a16:creationId xmlns:a16="http://schemas.microsoft.com/office/drawing/2014/main" id="{ECBFB89A-61FE-40AF-9CA0-FA64E3969F9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13" name="Text 3">
          <a:extLst>
            <a:ext uri="{FF2B5EF4-FFF2-40B4-BE49-F238E27FC236}">
              <a16:creationId xmlns:a16="http://schemas.microsoft.com/office/drawing/2014/main" id="{030CA3F3-39E0-4EAE-A9CE-B544875E70E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14" name="Text 3">
          <a:extLst>
            <a:ext uri="{FF2B5EF4-FFF2-40B4-BE49-F238E27FC236}">
              <a16:creationId xmlns:a16="http://schemas.microsoft.com/office/drawing/2014/main" id="{8BBB6167-1B43-4DA5-B9FC-BF51460D0ED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15" name="Text 3">
          <a:extLst>
            <a:ext uri="{FF2B5EF4-FFF2-40B4-BE49-F238E27FC236}">
              <a16:creationId xmlns:a16="http://schemas.microsoft.com/office/drawing/2014/main" id="{B0E257B4-F44D-424F-A055-D55594A86EE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16" name="Text 3">
          <a:extLst>
            <a:ext uri="{FF2B5EF4-FFF2-40B4-BE49-F238E27FC236}">
              <a16:creationId xmlns:a16="http://schemas.microsoft.com/office/drawing/2014/main" id="{F7BB4FF7-67D4-43ED-A9A5-5B0871CFA2C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17" name="Text 3">
          <a:extLst>
            <a:ext uri="{FF2B5EF4-FFF2-40B4-BE49-F238E27FC236}">
              <a16:creationId xmlns:a16="http://schemas.microsoft.com/office/drawing/2014/main" id="{42EE49A0-186B-4564-AFDD-2D3E81C326F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18" name="Text 3">
          <a:extLst>
            <a:ext uri="{FF2B5EF4-FFF2-40B4-BE49-F238E27FC236}">
              <a16:creationId xmlns:a16="http://schemas.microsoft.com/office/drawing/2014/main" id="{99B911E6-2EE3-4BCF-BA1D-BD0A964177C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19" name="Text 3">
          <a:extLst>
            <a:ext uri="{FF2B5EF4-FFF2-40B4-BE49-F238E27FC236}">
              <a16:creationId xmlns:a16="http://schemas.microsoft.com/office/drawing/2014/main" id="{6FD8B18C-E1EE-4067-9752-B33143C98CE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20" name="Text 3">
          <a:extLst>
            <a:ext uri="{FF2B5EF4-FFF2-40B4-BE49-F238E27FC236}">
              <a16:creationId xmlns:a16="http://schemas.microsoft.com/office/drawing/2014/main" id="{D9E11276-C1F8-4554-9C9A-45AF60A8902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21" name="Text 3">
          <a:extLst>
            <a:ext uri="{FF2B5EF4-FFF2-40B4-BE49-F238E27FC236}">
              <a16:creationId xmlns:a16="http://schemas.microsoft.com/office/drawing/2014/main" id="{B33F1FD5-B8AF-437B-A7C4-EA0799A54DB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22" name="Text 3">
          <a:extLst>
            <a:ext uri="{FF2B5EF4-FFF2-40B4-BE49-F238E27FC236}">
              <a16:creationId xmlns:a16="http://schemas.microsoft.com/office/drawing/2014/main" id="{4B3EE52E-6B31-498F-AE70-6FDAFDABDD3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23" name="Text 3">
          <a:extLst>
            <a:ext uri="{FF2B5EF4-FFF2-40B4-BE49-F238E27FC236}">
              <a16:creationId xmlns:a16="http://schemas.microsoft.com/office/drawing/2014/main" id="{EE50AD95-6BE4-4BF7-9F6C-F8E018E268E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24" name="Text 3">
          <a:extLst>
            <a:ext uri="{FF2B5EF4-FFF2-40B4-BE49-F238E27FC236}">
              <a16:creationId xmlns:a16="http://schemas.microsoft.com/office/drawing/2014/main" id="{D7A7EEBA-1E7A-48E0-BDD3-6BFD1336B4D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25" name="Text 3">
          <a:extLst>
            <a:ext uri="{FF2B5EF4-FFF2-40B4-BE49-F238E27FC236}">
              <a16:creationId xmlns:a16="http://schemas.microsoft.com/office/drawing/2014/main" id="{557D2EB6-C3EF-4A0F-8DAF-60791003391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26" name="Text 3">
          <a:extLst>
            <a:ext uri="{FF2B5EF4-FFF2-40B4-BE49-F238E27FC236}">
              <a16:creationId xmlns:a16="http://schemas.microsoft.com/office/drawing/2014/main" id="{2F0B9289-3C70-4E0E-B9BB-8E1678D8811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27" name="Text 3">
          <a:extLst>
            <a:ext uri="{FF2B5EF4-FFF2-40B4-BE49-F238E27FC236}">
              <a16:creationId xmlns:a16="http://schemas.microsoft.com/office/drawing/2014/main" id="{821545BA-8416-4CEE-947E-3A479E3BDE0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28" name="Text 3">
          <a:extLst>
            <a:ext uri="{FF2B5EF4-FFF2-40B4-BE49-F238E27FC236}">
              <a16:creationId xmlns:a16="http://schemas.microsoft.com/office/drawing/2014/main" id="{518FD13B-3D7C-4975-A2A7-9ED7CBDF512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29" name="Text 3">
          <a:extLst>
            <a:ext uri="{FF2B5EF4-FFF2-40B4-BE49-F238E27FC236}">
              <a16:creationId xmlns:a16="http://schemas.microsoft.com/office/drawing/2014/main" id="{BFF5623D-27D7-491E-87C4-4A0B262A879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30" name="Text 3">
          <a:extLst>
            <a:ext uri="{FF2B5EF4-FFF2-40B4-BE49-F238E27FC236}">
              <a16:creationId xmlns:a16="http://schemas.microsoft.com/office/drawing/2014/main" id="{727B73AE-CE73-404B-9296-62BEA13349E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31" name="Text 3">
          <a:extLst>
            <a:ext uri="{FF2B5EF4-FFF2-40B4-BE49-F238E27FC236}">
              <a16:creationId xmlns:a16="http://schemas.microsoft.com/office/drawing/2014/main" id="{7D3C08A7-4CFB-487F-80A7-502B1D4BC22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32" name="Text 3">
          <a:extLst>
            <a:ext uri="{FF2B5EF4-FFF2-40B4-BE49-F238E27FC236}">
              <a16:creationId xmlns:a16="http://schemas.microsoft.com/office/drawing/2014/main" id="{DF67D345-84C9-4219-BC36-223923347D9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33" name="Text 3">
          <a:extLst>
            <a:ext uri="{FF2B5EF4-FFF2-40B4-BE49-F238E27FC236}">
              <a16:creationId xmlns:a16="http://schemas.microsoft.com/office/drawing/2014/main" id="{4D41038A-E1C3-4948-8241-3DF8094BBA2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34" name="Text 3">
          <a:extLst>
            <a:ext uri="{FF2B5EF4-FFF2-40B4-BE49-F238E27FC236}">
              <a16:creationId xmlns:a16="http://schemas.microsoft.com/office/drawing/2014/main" id="{E97DFF4D-FE73-4F57-9D67-E10587BAD31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35" name="Text 3">
          <a:extLst>
            <a:ext uri="{FF2B5EF4-FFF2-40B4-BE49-F238E27FC236}">
              <a16:creationId xmlns:a16="http://schemas.microsoft.com/office/drawing/2014/main" id="{08F6B1E7-1EC0-4E60-B5F1-C3C1D8C849E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36" name="Text 3">
          <a:extLst>
            <a:ext uri="{FF2B5EF4-FFF2-40B4-BE49-F238E27FC236}">
              <a16:creationId xmlns:a16="http://schemas.microsoft.com/office/drawing/2014/main" id="{D359CD8E-CDF2-4AF3-970D-D3BC1914E68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37" name="Text 3">
          <a:extLst>
            <a:ext uri="{FF2B5EF4-FFF2-40B4-BE49-F238E27FC236}">
              <a16:creationId xmlns:a16="http://schemas.microsoft.com/office/drawing/2014/main" id="{5257F6C8-D080-498D-A8E9-14BD8E2C065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38" name="Text 3">
          <a:extLst>
            <a:ext uri="{FF2B5EF4-FFF2-40B4-BE49-F238E27FC236}">
              <a16:creationId xmlns:a16="http://schemas.microsoft.com/office/drawing/2014/main" id="{96C6A520-0608-41F9-BE5F-F61331CC5B1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39" name="Text 3">
          <a:extLst>
            <a:ext uri="{FF2B5EF4-FFF2-40B4-BE49-F238E27FC236}">
              <a16:creationId xmlns:a16="http://schemas.microsoft.com/office/drawing/2014/main" id="{B568DEA6-3166-4BF4-B87C-133D935DE29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40" name="Text 3">
          <a:extLst>
            <a:ext uri="{FF2B5EF4-FFF2-40B4-BE49-F238E27FC236}">
              <a16:creationId xmlns:a16="http://schemas.microsoft.com/office/drawing/2014/main" id="{32F2F14E-336E-4913-81CE-73096033F9B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41" name="Text 3">
          <a:extLst>
            <a:ext uri="{FF2B5EF4-FFF2-40B4-BE49-F238E27FC236}">
              <a16:creationId xmlns:a16="http://schemas.microsoft.com/office/drawing/2014/main" id="{04C0BD88-ECFE-4935-9076-6C7746F8D24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42" name="Text 3">
          <a:extLst>
            <a:ext uri="{FF2B5EF4-FFF2-40B4-BE49-F238E27FC236}">
              <a16:creationId xmlns:a16="http://schemas.microsoft.com/office/drawing/2014/main" id="{5D2C4822-66E9-4CA6-8A93-5BA946B8647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43" name="Text 3">
          <a:extLst>
            <a:ext uri="{FF2B5EF4-FFF2-40B4-BE49-F238E27FC236}">
              <a16:creationId xmlns:a16="http://schemas.microsoft.com/office/drawing/2014/main" id="{63896455-4640-42DA-BC8A-515FCA90001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44" name="Text 3">
          <a:extLst>
            <a:ext uri="{FF2B5EF4-FFF2-40B4-BE49-F238E27FC236}">
              <a16:creationId xmlns:a16="http://schemas.microsoft.com/office/drawing/2014/main" id="{62D2B451-C7E5-4E9A-BAC0-1C54FF7A20A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45" name="Text 3">
          <a:extLst>
            <a:ext uri="{FF2B5EF4-FFF2-40B4-BE49-F238E27FC236}">
              <a16:creationId xmlns:a16="http://schemas.microsoft.com/office/drawing/2014/main" id="{38CF59E8-69D9-4A41-8D72-1E9CDE5CFEB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46" name="Text 3">
          <a:extLst>
            <a:ext uri="{FF2B5EF4-FFF2-40B4-BE49-F238E27FC236}">
              <a16:creationId xmlns:a16="http://schemas.microsoft.com/office/drawing/2014/main" id="{75A53F0E-E711-4CB3-B506-0D54EEA4827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47" name="Text 3">
          <a:extLst>
            <a:ext uri="{FF2B5EF4-FFF2-40B4-BE49-F238E27FC236}">
              <a16:creationId xmlns:a16="http://schemas.microsoft.com/office/drawing/2014/main" id="{C1CA6D3E-1597-4886-B5A6-EDA7AA2CCCF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48" name="Text 3">
          <a:extLst>
            <a:ext uri="{FF2B5EF4-FFF2-40B4-BE49-F238E27FC236}">
              <a16:creationId xmlns:a16="http://schemas.microsoft.com/office/drawing/2014/main" id="{E8B2A3BC-62B0-43F4-9F84-B80FB3390B2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49" name="Text 3">
          <a:extLst>
            <a:ext uri="{FF2B5EF4-FFF2-40B4-BE49-F238E27FC236}">
              <a16:creationId xmlns:a16="http://schemas.microsoft.com/office/drawing/2014/main" id="{E3C4E598-DB3F-43B1-8328-6CAD89EEAFE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50" name="Text 3">
          <a:extLst>
            <a:ext uri="{FF2B5EF4-FFF2-40B4-BE49-F238E27FC236}">
              <a16:creationId xmlns:a16="http://schemas.microsoft.com/office/drawing/2014/main" id="{89FF0927-5735-4D81-B0B4-E5C98557EC5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51" name="Text 3">
          <a:extLst>
            <a:ext uri="{FF2B5EF4-FFF2-40B4-BE49-F238E27FC236}">
              <a16:creationId xmlns:a16="http://schemas.microsoft.com/office/drawing/2014/main" id="{EE707D82-9CA6-4373-BB48-12954F3FDE5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52" name="Text 3">
          <a:extLst>
            <a:ext uri="{FF2B5EF4-FFF2-40B4-BE49-F238E27FC236}">
              <a16:creationId xmlns:a16="http://schemas.microsoft.com/office/drawing/2014/main" id="{B3E81DA6-F9D8-4667-91AE-67B83BE40B2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53" name="Text 3">
          <a:extLst>
            <a:ext uri="{FF2B5EF4-FFF2-40B4-BE49-F238E27FC236}">
              <a16:creationId xmlns:a16="http://schemas.microsoft.com/office/drawing/2014/main" id="{01233733-7512-4A11-97CA-1F4EA9F2BD6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54" name="Text 3">
          <a:extLst>
            <a:ext uri="{FF2B5EF4-FFF2-40B4-BE49-F238E27FC236}">
              <a16:creationId xmlns:a16="http://schemas.microsoft.com/office/drawing/2014/main" id="{AF200183-3F4B-45F4-A522-ADA82915B00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55" name="Text 3">
          <a:extLst>
            <a:ext uri="{FF2B5EF4-FFF2-40B4-BE49-F238E27FC236}">
              <a16:creationId xmlns:a16="http://schemas.microsoft.com/office/drawing/2014/main" id="{7A974031-136A-4733-8900-4A72B30D840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56" name="Text 3">
          <a:extLst>
            <a:ext uri="{FF2B5EF4-FFF2-40B4-BE49-F238E27FC236}">
              <a16:creationId xmlns:a16="http://schemas.microsoft.com/office/drawing/2014/main" id="{DEF77D05-7BD2-4187-8F85-8B1255944BD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57" name="Text 3">
          <a:extLst>
            <a:ext uri="{FF2B5EF4-FFF2-40B4-BE49-F238E27FC236}">
              <a16:creationId xmlns:a16="http://schemas.microsoft.com/office/drawing/2014/main" id="{AD53D649-E91C-4B00-BE31-7CE94EFDBFA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58" name="Text 3">
          <a:extLst>
            <a:ext uri="{FF2B5EF4-FFF2-40B4-BE49-F238E27FC236}">
              <a16:creationId xmlns:a16="http://schemas.microsoft.com/office/drawing/2014/main" id="{B94F0CF8-B511-4807-8189-6945D7357A2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59" name="Text 3">
          <a:extLst>
            <a:ext uri="{FF2B5EF4-FFF2-40B4-BE49-F238E27FC236}">
              <a16:creationId xmlns:a16="http://schemas.microsoft.com/office/drawing/2014/main" id="{6D9C4959-F064-4B9A-A73C-68376C98C8B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60" name="Text 3">
          <a:extLst>
            <a:ext uri="{FF2B5EF4-FFF2-40B4-BE49-F238E27FC236}">
              <a16:creationId xmlns:a16="http://schemas.microsoft.com/office/drawing/2014/main" id="{CCB66E60-7876-438C-8A24-C14817B6FCA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61" name="Text 3">
          <a:extLst>
            <a:ext uri="{FF2B5EF4-FFF2-40B4-BE49-F238E27FC236}">
              <a16:creationId xmlns:a16="http://schemas.microsoft.com/office/drawing/2014/main" id="{CF9B1F89-37C8-4573-91DC-90A17F6BEAF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62" name="Text 3">
          <a:extLst>
            <a:ext uri="{FF2B5EF4-FFF2-40B4-BE49-F238E27FC236}">
              <a16:creationId xmlns:a16="http://schemas.microsoft.com/office/drawing/2014/main" id="{547CD80B-9857-41FF-9445-C51510251C0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63" name="Text 3">
          <a:extLst>
            <a:ext uri="{FF2B5EF4-FFF2-40B4-BE49-F238E27FC236}">
              <a16:creationId xmlns:a16="http://schemas.microsoft.com/office/drawing/2014/main" id="{65A7B6B1-A912-41D8-8C74-1B78BDFB835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64" name="Text 3">
          <a:extLst>
            <a:ext uri="{FF2B5EF4-FFF2-40B4-BE49-F238E27FC236}">
              <a16:creationId xmlns:a16="http://schemas.microsoft.com/office/drawing/2014/main" id="{30136EB0-CD9D-420D-98F4-746C5697442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65" name="Text 3">
          <a:extLst>
            <a:ext uri="{FF2B5EF4-FFF2-40B4-BE49-F238E27FC236}">
              <a16:creationId xmlns:a16="http://schemas.microsoft.com/office/drawing/2014/main" id="{3563629E-1155-4264-8915-CB22CB864B3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66" name="Text 3">
          <a:extLst>
            <a:ext uri="{FF2B5EF4-FFF2-40B4-BE49-F238E27FC236}">
              <a16:creationId xmlns:a16="http://schemas.microsoft.com/office/drawing/2014/main" id="{491B6FD2-AD69-40F6-8ED1-F74E4C18483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67" name="Text 3">
          <a:extLst>
            <a:ext uri="{FF2B5EF4-FFF2-40B4-BE49-F238E27FC236}">
              <a16:creationId xmlns:a16="http://schemas.microsoft.com/office/drawing/2014/main" id="{1B9312C9-12AA-4DB3-9B58-D6844B868A0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68" name="Text 3">
          <a:extLst>
            <a:ext uri="{FF2B5EF4-FFF2-40B4-BE49-F238E27FC236}">
              <a16:creationId xmlns:a16="http://schemas.microsoft.com/office/drawing/2014/main" id="{5F035E31-A313-4BD0-B813-4D2B2E9A295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69" name="Text 3">
          <a:extLst>
            <a:ext uri="{FF2B5EF4-FFF2-40B4-BE49-F238E27FC236}">
              <a16:creationId xmlns:a16="http://schemas.microsoft.com/office/drawing/2014/main" id="{B48202BD-580D-426D-A76E-54063943223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70" name="Text 3">
          <a:extLst>
            <a:ext uri="{FF2B5EF4-FFF2-40B4-BE49-F238E27FC236}">
              <a16:creationId xmlns:a16="http://schemas.microsoft.com/office/drawing/2014/main" id="{4F1C1833-3BDC-4B3D-852B-07267A55665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71" name="Text 3">
          <a:extLst>
            <a:ext uri="{FF2B5EF4-FFF2-40B4-BE49-F238E27FC236}">
              <a16:creationId xmlns:a16="http://schemas.microsoft.com/office/drawing/2014/main" id="{9AB23456-D38E-4B5E-861A-8FDF08F75FA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72" name="Text 3">
          <a:extLst>
            <a:ext uri="{FF2B5EF4-FFF2-40B4-BE49-F238E27FC236}">
              <a16:creationId xmlns:a16="http://schemas.microsoft.com/office/drawing/2014/main" id="{151D167B-1067-46BC-A8CF-98898A48DDF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73" name="Text 3">
          <a:extLst>
            <a:ext uri="{FF2B5EF4-FFF2-40B4-BE49-F238E27FC236}">
              <a16:creationId xmlns:a16="http://schemas.microsoft.com/office/drawing/2014/main" id="{D19377FB-EC1C-4FFA-B7C1-643E8BB4A47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74" name="Text 3">
          <a:extLst>
            <a:ext uri="{FF2B5EF4-FFF2-40B4-BE49-F238E27FC236}">
              <a16:creationId xmlns:a16="http://schemas.microsoft.com/office/drawing/2014/main" id="{6AF5B87C-B4A8-4666-82AC-884003E5D66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75" name="Text 3">
          <a:extLst>
            <a:ext uri="{FF2B5EF4-FFF2-40B4-BE49-F238E27FC236}">
              <a16:creationId xmlns:a16="http://schemas.microsoft.com/office/drawing/2014/main" id="{678D7138-647C-4F70-AC6E-9B4A96E6A4F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76" name="Text 3">
          <a:extLst>
            <a:ext uri="{FF2B5EF4-FFF2-40B4-BE49-F238E27FC236}">
              <a16:creationId xmlns:a16="http://schemas.microsoft.com/office/drawing/2014/main" id="{28FFFB87-FD05-4D18-A1AF-33BBBADB52B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77" name="Text 3">
          <a:extLst>
            <a:ext uri="{FF2B5EF4-FFF2-40B4-BE49-F238E27FC236}">
              <a16:creationId xmlns:a16="http://schemas.microsoft.com/office/drawing/2014/main" id="{DA23AF0F-25B2-46FA-B2CF-14D64C6B655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78" name="Text 3">
          <a:extLst>
            <a:ext uri="{FF2B5EF4-FFF2-40B4-BE49-F238E27FC236}">
              <a16:creationId xmlns:a16="http://schemas.microsoft.com/office/drawing/2014/main" id="{DD8442E6-130C-4E5E-B16E-C2362F91C76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79" name="Text 3">
          <a:extLst>
            <a:ext uri="{FF2B5EF4-FFF2-40B4-BE49-F238E27FC236}">
              <a16:creationId xmlns:a16="http://schemas.microsoft.com/office/drawing/2014/main" id="{7F19AF2F-339D-4C74-BB77-9578CB6FEF1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80" name="Text 3">
          <a:extLst>
            <a:ext uri="{FF2B5EF4-FFF2-40B4-BE49-F238E27FC236}">
              <a16:creationId xmlns:a16="http://schemas.microsoft.com/office/drawing/2014/main" id="{17C347DF-3B1F-45FA-B9BB-CBE54E3D734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81" name="Text 3">
          <a:extLst>
            <a:ext uri="{FF2B5EF4-FFF2-40B4-BE49-F238E27FC236}">
              <a16:creationId xmlns:a16="http://schemas.microsoft.com/office/drawing/2014/main" id="{D50F0128-356F-4A22-BAA0-4247A9CEB99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82" name="Text 3">
          <a:extLst>
            <a:ext uri="{FF2B5EF4-FFF2-40B4-BE49-F238E27FC236}">
              <a16:creationId xmlns:a16="http://schemas.microsoft.com/office/drawing/2014/main" id="{36A5D729-845C-48ED-B309-FE5898240BA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83" name="Text 3">
          <a:extLst>
            <a:ext uri="{FF2B5EF4-FFF2-40B4-BE49-F238E27FC236}">
              <a16:creationId xmlns:a16="http://schemas.microsoft.com/office/drawing/2014/main" id="{E77409BF-179B-478F-865E-B7F136B0D9C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84" name="Text 3">
          <a:extLst>
            <a:ext uri="{FF2B5EF4-FFF2-40B4-BE49-F238E27FC236}">
              <a16:creationId xmlns:a16="http://schemas.microsoft.com/office/drawing/2014/main" id="{F1ACC189-B5D1-42AE-9767-4563C1CC382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85" name="Text 3">
          <a:extLst>
            <a:ext uri="{FF2B5EF4-FFF2-40B4-BE49-F238E27FC236}">
              <a16:creationId xmlns:a16="http://schemas.microsoft.com/office/drawing/2014/main" id="{A5B460C3-079C-40F8-B1B0-0AE08210616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86" name="Text 3">
          <a:extLst>
            <a:ext uri="{FF2B5EF4-FFF2-40B4-BE49-F238E27FC236}">
              <a16:creationId xmlns:a16="http://schemas.microsoft.com/office/drawing/2014/main" id="{12B56757-FB3B-4A16-BBB2-7CABA5C1BCE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87" name="Text 3">
          <a:extLst>
            <a:ext uri="{FF2B5EF4-FFF2-40B4-BE49-F238E27FC236}">
              <a16:creationId xmlns:a16="http://schemas.microsoft.com/office/drawing/2014/main" id="{1E120210-C07D-4FD8-990F-B15EE5B7BAE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88" name="Text 3">
          <a:extLst>
            <a:ext uri="{FF2B5EF4-FFF2-40B4-BE49-F238E27FC236}">
              <a16:creationId xmlns:a16="http://schemas.microsoft.com/office/drawing/2014/main" id="{1C5EC7AB-E370-47D1-BFA8-992F210A21A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89" name="Text 3">
          <a:extLst>
            <a:ext uri="{FF2B5EF4-FFF2-40B4-BE49-F238E27FC236}">
              <a16:creationId xmlns:a16="http://schemas.microsoft.com/office/drawing/2014/main" id="{64D86AF7-C6D2-4A8F-A84D-893FF652C4D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90" name="Text 3">
          <a:extLst>
            <a:ext uri="{FF2B5EF4-FFF2-40B4-BE49-F238E27FC236}">
              <a16:creationId xmlns:a16="http://schemas.microsoft.com/office/drawing/2014/main" id="{86065B49-0DAA-4009-8FDD-23C6C68CB1A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91" name="Text 3">
          <a:extLst>
            <a:ext uri="{FF2B5EF4-FFF2-40B4-BE49-F238E27FC236}">
              <a16:creationId xmlns:a16="http://schemas.microsoft.com/office/drawing/2014/main" id="{E3833DF0-8F60-4C91-AA54-0BFDB5AFD9A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92" name="Text 3">
          <a:extLst>
            <a:ext uri="{FF2B5EF4-FFF2-40B4-BE49-F238E27FC236}">
              <a16:creationId xmlns:a16="http://schemas.microsoft.com/office/drawing/2014/main" id="{45B2EFCB-95A8-4E12-914B-6C4D41E5C4F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93" name="Text 3">
          <a:extLst>
            <a:ext uri="{FF2B5EF4-FFF2-40B4-BE49-F238E27FC236}">
              <a16:creationId xmlns:a16="http://schemas.microsoft.com/office/drawing/2014/main" id="{3D32BA2A-1810-4292-88F1-98CE8A77DE1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94" name="Text 3">
          <a:extLst>
            <a:ext uri="{FF2B5EF4-FFF2-40B4-BE49-F238E27FC236}">
              <a16:creationId xmlns:a16="http://schemas.microsoft.com/office/drawing/2014/main" id="{7C4D2FE9-461D-456B-ADFE-B655811688C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95" name="Text 3">
          <a:extLst>
            <a:ext uri="{FF2B5EF4-FFF2-40B4-BE49-F238E27FC236}">
              <a16:creationId xmlns:a16="http://schemas.microsoft.com/office/drawing/2014/main" id="{1D1707D0-D1C4-4ADC-A234-A7E185BC8F1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96" name="Text 3">
          <a:extLst>
            <a:ext uri="{FF2B5EF4-FFF2-40B4-BE49-F238E27FC236}">
              <a16:creationId xmlns:a16="http://schemas.microsoft.com/office/drawing/2014/main" id="{345F3A29-D3B6-4842-8DB7-9EEEFED29C7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97" name="Text 3">
          <a:extLst>
            <a:ext uri="{FF2B5EF4-FFF2-40B4-BE49-F238E27FC236}">
              <a16:creationId xmlns:a16="http://schemas.microsoft.com/office/drawing/2014/main" id="{8A84B992-08E7-4532-8C63-DD4901C4C42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98" name="Text 3">
          <a:extLst>
            <a:ext uri="{FF2B5EF4-FFF2-40B4-BE49-F238E27FC236}">
              <a16:creationId xmlns:a16="http://schemas.microsoft.com/office/drawing/2014/main" id="{1858B8AC-5167-452E-9440-0CA8E53844D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99" name="Text 3">
          <a:extLst>
            <a:ext uri="{FF2B5EF4-FFF2-40B4-BE49-F238E27FC236}">
              <a16:creationId xmlns:a16="http://schemas.microsoft.com/office/drawing/2014/main" id="{E644AA34-6E72-4559-95A4-4BC24716252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00" name="Text 3">
          <a:extLst>
            <a:ext uri="{FF2B5EF4-FFF2-40B4-BE49-F238E27FC236}">
              <a16:creationId xmlns:a16="http://schemas.microsoft.com/office/drawing/2014/main" id="{03F81AEA-DA6C-41CA-B41C-AB769E29B6F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01" name="Text 3">
          <a:extLst>
            <a:ext uri="{FF2B5EF4-FFF2-40B4-BE49-F238E27FC236}">
              <a16:creationId xmlns:a16="http://schemas.microsoft.com/office/drawing/2014/main" id="{272788C7-258F-433E-AB35-6B105C0756B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02" name="Text 3">
          <a:extLst>
            <a:ext uri="{FF2B5EF4-FFF2-40B4-BE49-F238E27FC236}">
              <a16:creationId xmlns:a16="http://schemas.microsoft.com/office/drawing/2014/main" id="{F7F710C5-14B1-4758-8F36-DE1EFF0CA3E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03" name="Text 3">
          <a:extLst>
            <a:ext uri="{FF2B5EF4-FFF2-40B4-BE49-F238E27FC236}">
              <a16:creationId xmlns:a16="http://schemas.microsoft.com/office/drawing/2014/main" id="{33502123-010D-43E3-8B5A-EE3EA06D272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04" name="Text 3">
          <a:extLst>
            <a:ext uri="{FF2B5EF4-FFF2-40B4-BE49-F238E27FC236}">
              <a16:creationId xmlns:a16="http://schemas.microsoft.com/office/drawing/2014/main" id="{1EC1D98A-412B-4774-9452-DC2ECB035B6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05" name="Text 3">
          <a:extLst>
            <a:ext uri="{FF2B5EF4-FFF2-40B4-BE49-F238E27FC236}">
              <a16:creationId xmlns:a16="http://schemas.microsoft.com/office/drawing/2014/main" id="{75EAD2E9-BC88-4A84-A576-A878921AC95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06" name="Text 3">
          <a:extLst>
            <a:ext uri="{FF2B5EF4-FFF2-40B4-BE49-F238E27FC236}">
              <a16:creationId xmlns:a16="http://schemas.microsoft.com/office/drawing/2014/main" id="{4A0ECB65-2587-40FA-BAD6-639E15D0962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07" name="Text 3">
          <a:extLst>
            <a:ext uri="{FF2B5EF4-FFF2-40B4-BE49-F238E27FC236}">
              <a16:creationId xmlns:a16="http://schemas.microsoft.com/office/drawing/2014/main" id="{698A0433-D1A4-4E4D-8996-DF96BBC2D00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08" name="Text 3">
          <a:extLst>
            <a:ext uri="{FF2B5EF4-FFF2-40B4-BE49-F238E27FC236}">
              <a16:creationId xmlns:a16="http://schemas.microsoft.com/office/drawing/2014/main" id="{262F28D4-AEA9-4650-B117-D438CE83652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09" name="Text 3">
          <a:extLst>
            <a:ext uri="{FF2B5EF4-FFF2-40B4-BE49-F238E27FC236}">
              <a16:creationId xmlns:a16="http://schemas.microsoft.com/office/drawing/2014/main" id="{03C013CB-16D2-448E-B593-89B719731AB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10" name="Text 3">
          <a:extLst>
            <a:ext uri="{FF2B5EF4-FFF2-40B4-BE49-F238E27FC236}">
              <a16:creationId xmlns:a16="http://schemas.microsoft.com/office/drawing/2014/main" id="{B3EF6ED4-6649-4144-893C-4D3D438E76A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11" name="Text 3">
          <a:extLst>
            <a:ext uri="{FF2B5EF4-FFF2-40B4-BE49-F238E27FC236}">
              <a16:creationId xmlns:a16="http://schemas.microsoft.com/office/drawing/2014/main" id="{36197E49-8201-4106-BB05-85CFE2CADE2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12" name="Text 3">
          <a:extLst>
            <a:ext uri="{FF2B5EF4-FFF2-40B4-BE49-F238E27FC236}">
              <a16:creationId xmlns:a16="http://schemas.microsoft.com/office/drawing/2014/main" id="{D109B01A-E98D-4645-99D8-6F5FA699D98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13" name="Text 3">
          <a:extLst>
            <a:ext uri="{FF2B5EF4-FFF2-40B4-BE49-F238E27FC236}">
              <a16:creationId xmlns:a16="http://schemas.microsoft.com/office/drawing/2014/main" id="{0AF29834-28A5-431D-8925-46A79012BD4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14" name="Text 3">
          <a:extLst>
            <a:ext uri="{FF2B5EF4-FFF2-40B4-BE49-F238E27FC236}">
              <a16:creationId xmlns:a16="http://schemas.microsoft.com/office/drawing/2014/main" id="{028C521D-0C43-4A87-A585-54BE6B7EA28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15" name="Text 3">
          <a:extLst>
            <a:ext uri="{FF2B5EF4-FFF2-40B4-BE49-F238E27FC236}">
              <a16:creationId xmlns:a16="http://schemas.microsoft.com/office/drawing/2014/main" id="{16B33DAF-366C-4889-8A5D-564EEDEC606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16" name="Text 3">
          <a:extLst>
            <a:ext uri="{FF2B5EF4-FFF2-40B4-BE49-F238E27FC236}">
              <a16:creationId xmlns:a16="http://schemas.microsoft.com/office/drawing/2014/main" id="{BF4CF375-57EF-420A-868F-C5B65020DC8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17" name="Text 3">
          <a:extLst>
            <a:ext uri="{FF2B5EF4-FFF2-40B4-BE49-F238E27FC236}">
              <a16:creationId xmlns:a16="http://schemas.microsoft.com/office/drawing/2014/main" id="{9986B6FB-162D-4793-BEF3-DBF11D8BCA0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18" name="Text 3">
          <a:extLst>
            <a:ext uri="{FF2B5EF4-FFF2-40B4-BE49-F238E27FC236}">
              <a16:creationId xmlns:a16="http://schemas.microsoft.com/office/drawing/2014/main" id="{619E0A76-030E-43A5-BF77-5F056B2DEE0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19" name="Text 3">
          <a:extLst>
            <a:ext uri="{FF2B5EF4-FFF2-40B4-BE49-F238E27FC236}">
              <a16:creationId xmlns:a16="http://schemas.microsoft.com/office/drawing/2014/main" id="{3916412B-C2FF-44C9-874D-A5E6FC7E54E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20" name="Text 3">
          <a:extLst>
            <a:ext uri="{FF2B5EF4-FFF2-40B4-BE49-F238E27FC236}">
              <a16:creationId xmlns:a16="http://schemas.microsoft.com/office/drawing/2014/main" id="{02E74D2D-8289-46A8-A644-C033D4F2CBD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21" name="Text 3">
          <a:extLst>
            <a:ext uri="{FF2B5EF4-FFF2-40B4-BE49-F238E27FC236}">
              <a16:creationId xmlns:a16="http://schemas.microsoft.com/office/drawing/2014/main" id="{1A256AAB-849A-4C81-B2FB-34D32EFB2A7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22" name="Text 3">
          <a:extLst>
            <a:ext uri="{FF2B5EF4-FFF2-40B4-BE49-F238E27FC236}">
              <a16:creationId xmlns:a16="http://schemas.microsoft.com/office/drawing/2014/main" id="{70E77FA1-4338-4423-9BC8-49CD859DB04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23" name="Text 3">
          <a:extLst>
            <a:ext uri="{FF2B5EF4-FFF2-40B4-BE49-F238E27FC236}">
              <a16:creationId xmlns:a16="http://schemas.microsoft.com/office/drawing/2014/main" id="{10AB5881-8C2C-463A-B709-8AF03215A6C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24" name="Text 3">
          <a:extLst>
            <a:ext uri="{FF2B5EF4-FFF2-40B4-BE49-F238E27FC236}">
              <a16:creationId xmlns:a16="http://schemas.microsoft.com/office/drawing/2014/main" id="{EE75C1B8-4E3F-4B6F-8941-73A94CA857A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25" name="Text 3">
          <a:extLst>
            <a:ext uri="{FF2B5EF4-FFF2-40B4-BE49-F238E27FC236}">
              <a16:creationId xmlns:a16="http://schemas.microsoft.com/office/drawing/2014/main" id="{55E2AFE7-4F7A-4755-ABF3-B296A9754AB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26" name="Text 3">
          <a:extLst>
            <a:ext uri="{FF2B5EF4-FFF2-40B4-BE49-F238E27FC236}">
              <a16:creationId xmlns:a16="http://schemas.microsoft.com/office/drawing/2014/main" id="{3403A1B6-6D51-404E-8E01-2A82EB296EC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27" name="Text 3">
          <a:extLst>
            <a:ext uri="{FF2B5EF4-FFF2-40B4-BE49-F238E27FC236}">
              <a16:creationId xmlns:a16="http://schemas.microsoft.com/office/drawing/2014/main" id="{B9A87373-D77C-4E1B-A970-1EFD6F56650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28" name="Text 3">
          <a:extLst>
            <a:ext uri="{FF2B5EF4-FFF2-40B4-BE49-F238E27FC236}">
              <a16:creationId xmlns:a16="http://schemas.microsoft.com/office/drawing/2014/main" id="{D1239E06-C6F2-4961-ABC7-E2E422C144D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29" name="Text 3">
          <a:extLst>
            <a:ext uri="{FF2B5EF4-FFF2-40B4-BE49-F238E27FC236}">
              <a16:creationId xmlns:a16="http://schemas.microsoft.com/office/drawing/2014/main" id="{153D032B-9A9D-40CE-B379-FB3B7A5B719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30" name="Text 3">
          <a:extLst>
            <a:ext uri="{FF2B5EF4-FFF2-40B4-BE49-F238E27FC236}">
              <a16:creationId xmlns:a16="http://schemas.microsoft.com/office/drawing/2014/main" id="{27184042-AD39-4761-ADE3-A1634251B98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31" name="Text 3">
          <a:extLst>
            <a:ext uri="{FF2B5EF4-FFF2-40B4-BE49-F238E27FC236}">
              <a16:creationId xmlns:a16="http://schemas.microsoft.com/office/drawing/2014/main" id="{6DA9219F-4A09-493D-A5C5-F77B9DFEB60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32" name="Text 3">
          <a:extLst>
            <a:ext uri="{FF2B5EF4-FFF2-40B4-BE49-F238E27FC236}">
              <a16:creationId xmlns:a16="http://schemas.microsoft.com/office/drawing/2014/main" id="{64880046-413A-48FA-B003-890DE0250BF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33" name="Text 3">
          <a:extLst>
            <a:ext uri="{FF2B5EF4-FFF2-40B4-BE49-F238E27FC236}">
              <a16:creationId xmlns:a16="http://schemas.microsoft.com/office/drawing/2014/main" id="{6AAE1DCB-958E-4FEB-9AA9-D2872121440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34" name="Text 3">
          <a:extLst>
            <a:ext uri="{FF2B5EF4-FFF2-40B4-BE49-F238E27FC236}">
              <a16:creationId xmlns:a16="http://schemas.microsoft.com/office/drawing/2014/main" id="{978E9889-8BA1-4865-92C8-CE3B0B64749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35" name="Text 3">
          <a:extLst>
            <a:ext uri="{FF2B5EF4-FFF2-40B4-BE49-F238E27FC236}">
              <a16:creationId xmlns:a16="http://schemas.microsoft.com/office/drawing/2014/main" id="{214F6BF0-3C50-4AE8-A57A-8E87F9EE347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36" name="Text 3">
          <a:extLst>
            <a:ext uri="{FF2B5EF4-FFF2-40B4-BE49-F238E27FC236}">
              <a16:creationId xmlns:a16="http://schemas.microsoft.com/office/drawing/2014/main" id="{4AE7AE9A-560E-481E-A5B9-342F3B45F3E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37" name="Text 3">
          <a:extLst>
            <a:ext uri="{FF2B5EF4-FFF2-40B4-BE49-F238E27FC236}">
              <a16:creationId xmlns:a16="http://schemas.microsoft.com/office/drawing/2014/main" id="{18EDD578-901E-4D29-978D-0391FAB196E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38" name="Text 3">
          <a:extLst>
            <a:ext uri="{FF2B5EF4-FFF2-40B4-BE49-F238E27FC236}">
              <a16:creationId xmlns:a16="http://schemas.microsoft.com/office/drawing/2014/main" id="{59B09CCD-399E-415F-8376-48DD727786F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39" name="Text 3">
          <a:extLst>
            <a:ext uri="{FF2B5EF4-FFF2-40B4-BE49-F238E27FC236}">
              <a16:creationId xmlns:a16="http://schemas.microsoft.com/office/drawing/2014/main" id="{FF99B5AE-38D5-4E30-BAE5-9B802FDC330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40" name="Text 3">
          <a:extLst>
            <a:ext uri="{FF2B5EF4-FFF2-40B4-BE49-F238E27FC236}">
              <a16:creationId xmlns:a16="http://schemas.microsoft.com/office/drawing/2014/main" id="{D9F2FB12-8DC3-4815-824D-69A4D1BE20E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41" name="Text 3">
          <a:extLst>
            <a:ext uri="{FF2B5EF4-FFF2-40B4-BE49-F238E27FC236}">
              <a16:creationId xmlns:a16="http://schemas.microsoft.com/office/drawing/2014/main" id="{14DA6937-FEE9-4557-A199-0ECA71784B0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42" name="Text 3">
          <a:extLst>
            <a:ext uri="{FF2B5EF4-FFF2-40B4-BE49-F238E27FC236}">
              <a16:creationId xmlns:a16="http://schemas.microsoft.com/office/drawing/2014/main" id="{4E653BE3-0185-4068-A7DD-89147AB7CDB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43" name="Text 3">
          <a:extLst>
            <a:ext uri="{FF2B5EF4-FFF2-40B4-BE49-F238E27FC236}">
              <a16:creationId xmlns:a16="http://schemas.microsoft.com/office/drawing/2014/main" id="{55FD1DD2-463C-49A1-A33C-A776B842098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44" name="Text 3">
          <a:extLst>
            <a:ext uri="{FF2B5EF4-FFF2-40B4-BE49-F238E27FC236}">
              <a16:creationId xmlns:a16="http://schemas.microsoft.com/office/drawing/2014/main" id="{4F6CDDAA-F7BC-463F-B8B4-FF06A2E0EC3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45" name="Text 3">
          <a:extLst>
            <a:ext uri="{FF2B5EF4-FFF2-40B4-BE49-F238E27FC236}">
              <a16:creationId xmlns:a16="http://schemas.microsoft.com/office/drawing/2014/main" id="{2DC8842A-69A2-4C08-979C-1C75420384B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46" name="Text 3">
          <a:extLst>
            <a:ext uri="{FF2B5EF4-FFF2-40B4-BE49-F238E27FC236}">
              <a16:creationId xmlns:a16="http://schemas.microsoft.com/office/drawing/2014/main" id="{190F771D-893D-4C56-9852-8EE912AB43A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47" name="Text 3">
          <a:extLst>
            <a:ext uri="{FF2B5EF4-FFF2-40B4-BE49-F238E27FC236}">
              <a16:creationId xmlns:a16="http://schemas.microsoft.com/office/drawing/2014/main" id="{07BF02A6-4E0D-4C9B-A7BB-FE2A66FB8F7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48" name="Text 3">
          <a:extLst>
            <a:ext uri="{FF2B5EF4-FFF2-40B4-BE49-F238E27FC236}">
              <a16:creationId xmlns:a16="http://schemas.microsoft.com/office/drawing/2014/main" id="{738F430A-02C8-45CA-9E0B-CE75675352D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49" name="Text 3">
          <a:extLst>
            <a:ext uri="{FF2B5EF4-FFF2-40B4-BE49-F238E27FC236}">
              <a16:creationId xmlns:a16="http://schemas.microsoft.com/office/drawing/2014/main" id="{88404618-1341-4809-BD40-E89830C2EA2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50" name="Text 3">
          <a:extLst>
            <a:ext uri="{FF2B5EF4-FFF2-40B4-BE49-F238E27FC236}">
              <a16:creationId xmlns:a16="http://schemas.microsoft.com/office/drawing/2014/main" id="{4E2E3311-6A25-4B14-B789-1C16FB807F5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51" name="Text 3">
          <a:extLst>
            <a:ext uri="{FF2B5EF4-FFF2-40B4-BE49-F238E27FC236}">
              <a16:creationId xmlns:a16="http://schemas.microsoft.com/office/drawing/2014/main" id="{32A35FF0-10A0-4564-BD16-689A0A4AF22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52" name="Text 3">
          <a:extLst>
            <a:ext uri="{FF2B5EF4-FFF2-40B4-BE49-F238E27FC236}">
              <a16:creationId xmlns:a16="http://schemas.microsoft.com/office/drawing/2014/main" id="{D7BDF7A1-8581-45D7-8B6F-120AFE07E4E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53" name="Text 3">
          <a:extLst>
            <a:ext uri="{FF2B5EF4-FFF2-40B4-BE49-F238E27FC236}">
              <a16:creationId xmlns:a16="http://schemas.microsoft.com/office/drawing/2014/main" id="{A91ABD54-2478-49D0-B3F4-9A073B9BD68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54" name="Text 3">
          <a:extLst>
            <a:ext uri="{FF2B5EF4-FFF2-40B4-BE49-F238E27FC236}">
              <a16:creationId xmlns:a16="http://schemas.microsoft.com/office/drawing/2014/main" id="{DC43F52B-D94D-4F25-AB9A-2A714155B54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55" name="Text 3">
          <a:extLst>
            <a:ext uri="{FF2B5EF4-FFF2-40B4-BE49-F238E27FC236}">
              <a16:creationId xmlns:a16="http://schemas.microsoft.com/office/drawing/2014/main" id="{D131F491-0188-4982-8726-9C8BE476738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56" name="Text 3">
          <a:extLst>
            <a:ext uri="{FF2B5EF4-FFF2-40B4-BE49-F238E27FC236}">
              <a16:creationId xmlns:a16="http://schemas.microsoft.com/office/drawing/2014/main" id="{E1478CCA-FAAD-4BFA-A52B-EF0D48F984C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57" name="Text 3">
          <a:extLst>
            <a:ext uri="{FF2B5EF4-FFF2-40B4-BE49-F238E27FC236}">
              <a16:creationId xmlns:a16="http://schemas.microsoft.com/office/drawing/2014/main" id="{8F36DB32-2343-4483-926B-D50CB0E8699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58" name="Text 3">
          <a:extLst>
            <a:ext uri="{FF2B5EF4-FFF2-40B4-BE49-F238E27FC236}">
              <a16:creationId xmlns:a16="http://schemas.microsoft.com/office/drawing/2014/main" id="{AD6CEC11-C61F-4635-ADAC-BB13975FED6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59" name="Text 3">
          <a:extLst>
            <a:ext uri="{FF2B5EF4-FFF2-40B4-BE49-F238E27FC236}">
              <a16:creationId xmlns:a16="http://schemas.microsoft.com/office/drawing/2014/main" id="{7BF79661-423E-4D41-876D-A73BC659CC4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60" name="Text 3">
          <a:extLst>
            <a:ext uri="{FF2B5EF4-FFF2-40B4-BE49-F238E27FC236}">
              <a16:creationId xmlns:a16="http://schemas.microsoft.com/office/drawing/2014/main" id="{320CF3F1-0871-4911-BF79-246B8D4262A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61" name="Text 3">
          <a:extLst>
            <a:ext uri="{FF2B5EF4-FFF2-40B4-BE49-F238E27FC236}">
              <a16:creationId xmlns:a16="http://schemas.microsoft.com/office/drawing/2014/main" id="{3BE0C396-0685-4904-881A-FC3C6E7DAC5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62" name="Text 3">
          <a:extLst>
            <a:ext uri="{FF2B5EF4-FFF2-40B4-BE49-F238E27FC236}">
              <a16:creationId xmlns:a16="http://schemas.microsoft.com/office/drawing/2014/main" id="{C73A7550-A08D-4981-9D8A-AEC8706ECC6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63" name="Text 3">
          <a:extLst>
            <a:ext uri="{FF2B5EF4-FFF2-40B4-BE49-F238E27FC236}">
              <a16:creationId xmlns:a16="http://schemas.microsoft.com/office/drawing/2014/main" id="{3EB2DE21-37E5-483E-BB4A-FD48B892C83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64" name="Text 3">
          <a:extLst>
            <a:ext uri="{FF2B5EF4-FFF2-40B4-BE49-F238E27FC236}">
              <a16:creationId xmlns:a16="http://schemas.microsoft.com/office/drawing/2014/main" id="{9F47915B-0CAD-473F-9CF5-8C974BE44F2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65" name="Text 3">
          <a:extLst>
            <a:ext uri="{FF2B5EF4-FFF2-40B4-BE49-F238E27FC236}">
              <a16:creationId xmlns:a16="http://schemas.microsoft.com/office/drawing/2014/main" id="{DAB7B0EF-A148-4C3E-8607-01928F68B1A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66" name="Text 3">
          <a:extLst>
            <a:ext uri="{FF2B5EF4-FFF2-40B4-BE49-F238E27FC236}">
              <a16:creationId xmlns:a16="http://schemas.microsoft.com/office/drawing/2014/main" id="{E36477CC-31BF-4678-A85E-EF8AE85F8DE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67" name="Text 3">
          <a:extLst>
            <a:ext uri="{FF2B5EF4-FFF2-40B4-BE49-F238E27FC236}">
              <a16:creationId xmlns:a16="http://schemas.microsoft.com/office/drawing/2014/main" id="{697AB28E-F7CD-4566-AAFB-70C9DC11F1E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68" name="Text 3">
          <a:extLst>
            <a:ext uri="{FF2B5EF4-FFF2-40B4-BE49-F238E27FC236}">
              <a16:creationId xmlns:a16="http://schemas.microsoft.com/office/drawing/2014/main" id="{767FCE01-5B1A-4E43-A17F-32AB0646102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69" name="Text 3">
          <a:extLst>
            <a:ext uri="{FF2B5EF4-FFF2-40B4-BE49-F238E27FC236}">
              <a16:creationId xmlns:a16="http://schemas.microsoft.com/office/drawing/2014/main" id="{708C056C-1334-4A18-B0C5-45E7574884F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70" name="Text 3">
          <a:extLst>
            <a:ext uri="{FF2B5EF4-FFF2-40B4-BE49-F238E27FC236}">
              <a16:creationId xmlns:a16="http://schemas.microsoft.com/office/drawing/2014/main" id="{8BE2AD28-6B44-4051-9F4E-0D0CFF39165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71" name="Text 3">
          <a:extLst>
            <a:ext uri="{FF2B5EF4-FFF2-40B4-BE49-F238E27FC236}">
              <a16:creationId xmlns:a16="http://schemas.microsoft.com/office/drawing/2014/main" id="{2F0FB769-321C-4E18-809A-B0332205938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72" name="Text 3">
          <a:extLst>
            <a:ext uri="{FF2B5EF4-FFF2-40B4-BE49-F238E27FC236}">
              <a16:creationId xmlns:a16="http://schemas.microsoft.com/office/drawing/2014/main" id="{4CA494FF-FEC5-474E-8AEE-3DC0D1AEC64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73" name="Text 3">
          <a:extLst>
            <a:ext uri="{FF2B5EF4-FFF2-40B4-BE49-F238E27FC236}">
              <a16:creationId xmlns:a16="http://schemas.microsoft.com/office/drawing/2014/main" id="{CA2BD312-41C6-46DD-A1BD-0FD4DB3BFF4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74" name="Text 3">
          <a:extLst>
            <a:ext uri="{FF2B5EF4-FFF2-40B4-BE49-F238E27FC236}">
              <a16:creationId xmlns:a16="http://schemas.microsoft.com/office/drawing/2014/main" id="{F70C9731-2279-4414-8725-349E5588630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75" name="Text 3">
          <a:extLst>
            <a:ext uri="{FF2B5EF4-FFF2-40B4-BE49-F238E27FC236}">
              <a16:creationId xmlns:a16="http://schemas.microsoft.com/office/drawing/2014/main" id="{6F20100D-79E1-48D9-9048-C7BA6F2524E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76" name="Text 3">
          <a:extLst>
            <a:ext uri="{FF2B5EF4-FFF2-40B4-BE49-F238E27FC236}">
              <a16:creationId xmlns:a16="http://schemas.microsoft.com/office/drawing/2014/main" id="{6412DF10-D8E1-48B4-8CEC-557C617145C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77" name="Text 3">
          <a:extLst>
            <a:ext uri="{FF2B5EF4-FFF2-40B4-BE49-F238E27FC236}">
              <a16:creationId xmlns:a16="http://schemas.microsoft.com/office/drawing/2014/main" id="{6AAD0579-95F1-4B29-BFCE-D1A79CFE73C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78" name="Text 3">
          <a:extLst>
            <a:ext uri="{FF2B5EF4-FFF2-40B4-BE49-F238E27FC236}">
              <a16:creationId xmlns:a16="http://schemas.microsoft.com/office/drawing/2014/main" id="{1C235887-8E4E-4BF0-8814-6CEF990D592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79" name="Text 3">
          <a:extLst>
            <a:ext uri="{FF2B5EF4-FFF2-40B4-BE49-F238E27FC236}">
              <a16:creationId xmlns:a16="http://schemas.microsoft.com/office/drawing/2014/main" id="{92894CFE-B054-47A4-A842-F5805BB6B37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80" name="Text 3">
          <a:extLst>
            <a:ext uri="{FF2B5EF4-FFF2-40B4-BE49-F238E27FC236}">
              <a16:creationId xmlns:a16="http://schemas.microsoft.com/office/drawing/2014/main" id="{EED09342-1E29-42CE-9573-C8522ABFFA0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81" name="Text 3">
          <a:extLst>
            <a:ext uri="{FF2B5EF4-FFF2-40B4-BE49-F238E27FC236}">
              <a16:creationId xmlns:a16="http://schemas.microsoft.com/office/drawing/2014/main" id="{2F290898-7625-49B8-B0FC-ECD9246C203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82" name="Text 3">
          <a:extLst>
            <a:ext uri="{FF2B5EF4-FFF2-40B4-BE49-F238E27FC236}">
              <a16:creationId xmlns:a16="http://schemas.microsoft.com/office/drawing/2014/main" id="{3FD82176-46B2-4776-AE28-977233EB11A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83" name="Text 3">
          <a:extLst>
            <a:ext uri="{FF2B5EF4-FFF2-40B4-BE49-F238E27FC236}">
              <a16:creationId xmlns:a16="http://schemas.microsoft.com/office/drawing/2014/main" id="{905C6EE0-EAFF-406D-B7CB-F76D1E4E1A3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84" name="Text 3">
          <a:extLst>
            <a:ext uri="{FF2B5EF4-FFF2-40B4-BE49-F238E27FC236}">
              <a16:creationId xmlns:a16="http://schemas.microsoft.com/office/drawing/2014/main" id="{83C4BD9C-F0C3-494D-9110-089C76AE488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85" name="Text 3">
          <a:extLst>
            <a:ext uri="{FF2B5EF4-FFF2-40B4-BE49-F238E27FC236}">
              <a16:creationId xmlns:a16="http://schemas.microsoft.com/office/drawing/2014/main" id="{55B11CB2-2734-4FAB-8A55-C7F6506D057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86" name="Text 3">
          <a:extLst>
            <a:ext uri="{FF2B5EF4-FFF2-40B4-BE49-F238E27FC236}">
              <a16:creationId xmlns:a16="http://schemas.microsoft.com/office/drawing/2014/main" id="{80F5FAF8-3461-4498-9156-38A2F9ED061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87" name="Text 3">
          <a:extLst>
            <a:ext uri="{FF2B5EF4-FFF2-40B4-BE49-F238E27FC236}">
              <a16:creationId xmlns:a16="http://schemas.microsoft.com/office/drawing/2014/main" id="{3C7A62EC-27C6-4BCB-8AC5-6CFE84D45AC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88" name="Text 3">
          <a:extLst>
            <a:ext uri="{FF2B5EF4-FFF2-40B4-BE49-F238E27FC236}">
              <a16:creationId xmlns:a16="http://schemas.microsoft.com/office/drawing/2014/main" id="{A1FB8CCC-556A-4358-A705-6788E535AE4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89" name="Text 3">
          <a:extLst>
            <a:ext uri="{FF2B5EF4-FFF2-40B4-BE49-F238E27FC236}">
              <a16:creationId xmlns:a16="http://schemas.microsoft.com/office/drawing/2014/main" id="{C0685B70-DDE3-47EC-B1D8-0A743431601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90" name="Text 3">
          <a:extLst>
            <a:ext uri="{FF2B5EF4-FFF2-40B4-BE49-F238E27FC236}">
              <a16:creationId xmlns:a16="http://schemas.microsoft.com/office/drawing/2014/main" id="{2FA31F5E-6E98-4E5F-B145-0FE865AD8A3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91" name="Text 3">
          <a:extLst>
            <a:ext uri="{FF2B5EF4-FFF2-40B4-BE49-F238E27FC236}">
              <a16:creationId xmlns:a16="http://schemas.microsoft.com/office/drawing/2014/main" id="{A777376F-92BE-4232-AD31-9EC8B8DAF04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92" name="Text 3">
          <a:extLst>
            <a:ext uri="{FF2B5EF4-FFF2-40B4-BE49-F238E27FC236}">
              <a16:creationId xmlns:a16="http://schemas.microsoft.com/office/drawing/2014/main" id="{C0916AF0-F115-4E90-B2E5-AE1CD1012FE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93" name="Text 3">
          <a:extLst>
            <a:ext uri="{FF2B5EF4-FFF2-40B4-BE49-F238E27FC236}">
              <a16:creationId xmlns:a16="http://schemas.microsoft.com/office/drawing/2014/main" id="{350D0B6D-CC4F-4624-8189-9D17B5B5FA9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94" name="Text 3">
          <a:extLst>
            <a:ext uri="{FF2B5EF4-FFF2-40B4-BE49-F238E27FC236}">
              <a16:creationId xmlns:a16="http://schemas.microsoft.com/office/drawing/2014/main" id="{8A91AE5F-D656-4DE3-997E-8B4068B117C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95" name="Text 3">
          <a:extLst>
            <a:ext uri="{FF2B5EF4-FFF2-40B4-BE49-F238E27FC236}">
              <a16:creationId xmlns:a16="http://schemas.microsoft.com/office/drawing/2014/main" id="{B86CC50C-E8E9-4C2E-A044-712CC86F6C5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96" name="Text 3">
          <a:extLst>
            <a:ext uri="{FF2B5EF4-FFF2-40B4-BE49-F238E27FC236}">
              <a16:creationId xmlns:a16="http://schemas.microsoft.com/office/drawing/2014/main" id="{B92CD720-FB1F-497D-9E67-F645E5C29FC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97" name="Text 3">
          <a:extLst>
            <a:ext uri="{FF2B5EF4-FFF2-40B4-BE49-F238E27FC236}">
              <a16:creationId xmlns:a16="http://schemas.microsoft.com/office/drawing/2014/main" id="{979492E7-3CE7-44C9-AB3F-E0C2ECEFB40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98" name="Text 3">
          <a:extLst>
            <a:ext uri="{FF2B5EF4-FFF2-40B4-BE49-F238E27FC236}">
              <a16:creationId xmlns:a16="http://schemas.microsoft.com/office/drawing/2014/main" id="{2694A22F-111D-4306-8446-72726AC7A23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99" name="Text 3">
          <a:extLst>
            <a:ext uri="{FF2B5EF4-FFF2-40B4-BE49-F238E27FC236}">
              <a16:creationId xmlns:a16="http://schemas.microsoft.com/office/drawing/2014/main" id="{7FE2DB88-9439-4472-A15E-C7130D5A1B2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00" name="Text 3">
          <a:extLst>
            <a:ext uri="{FF2B5EF4-FFF2-40B4-BE49-F238E27FC236}">
              <a16:creationId xmlns:a16="http://schemas.microsoft.com/office/drawing/2014/main" id="{C3562F66-B382-422D-9011-E35E694A216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01" name="Text 3">
          <a:extLst>
            <a:ext uri="{FF2B5EF4-FFF2-40B4-BE49-F238E27FC236}">
              <a16:creationId xmlns:a16="http://schemas.microsoft.com/office/drawing/2014/main" id="{12706441-C0A2-4DBF-8EF3-8BE830F726C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02" name="Text 3">
          <a:extLst>
            <a:ext uri="{FF2B5EF4-FFF2-40B4-BE49-F238E27FC236}">
              <a16:creationId xmlns:a16="http://schemas.microsoft.com/office/drawing/2014/main" id="{F7718AFE-329B-4F63-BB4D-5E9144AB6BE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03" name="Text 3">
          <a:extLst>
            <a:ext uri="{FF2B5EF4-FFF2-40B4-BE49-F238E27FC236}">
              <a16:creationId xmlns:a16="http://schemas.microsoft.com/office/drawing/2014/main" id="{56B409FD-F0C2-4C90-96E3-1E881097C34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04" name="Text 3">
          <a:extLst>
            <a:ext uri="{FF2B5EF4-FFF2-40B4-BE49-F238E27FC236}">
              <a16:creationId xmlns:a16="http://schemas.microsoft.com/office/drawing/2014/main" id="{940E9E07-4FC0-4C3B-9093-501A52A8C5F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05" name="Text 3">
          <a:extLst>
            <a:ext uri="{FF2B5EF4-FFF2-40B4-BE49-F238E27FC236}">
              <a16:creationId xmlns:a16="http://schemas.microsoft.com/office/drawing/2014/main" id="{90BB98A4-EDEF-4E5F-9690-FEDF6CEA840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06" name="Text 3">
          <a:extLst>
            <a:ext uri="{FF2B5EF4-FFF2-40B4-BE49-F238E27FC236}">
              <a16:creationId xmlns:a16="http://schemas.microsoft.com/office/drawing/2014/main" id="{5ACA692D-6476-415D-93CB-FD1411E9D90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07" name="Text 3">
          <a:extLst>
            <a:ext uri="{FF2B5EF4-FFF2-40B4-BE49-F238E27FC236}">
              <a16:creationId xmlns:a16="http://schemas.microsoft.com/office/drawing/2014/main" id="{CE8D9FC6-1E68-47EE-8C97-09B4B4290F8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08" name="Text 3">
          <a:extLst>
            <a:ext uri="{FF2B5EF4-FFF2-40B4-BE49-F238E27FC236}">
              <a16:creationId xmlns:a16="http://schemas.microsoft.com/office/drawing/2014/main" id="{BEF8C49A-65EB-4597-97B9-7BFBD024E6E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09" name="Text 3">
          <a:extLst>
            <a:ext uri="{FF2B5EF4-FFF2-40B4-BE49-F238E27FC236}">
              <a16:creationId xmlns:a16="http://schemas.microsoft.com/office/drawing/2014/main" id="{6CD094E2-74F6-4D5F-BC4B-57716BA79E6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10" name="Text 3">
          <a:extLst>
            <a:ext uri="{FF2B5EF4-FFF2-40B4-BE49-F238E27FC236}">
              <a16:creationId xmlns:a16="http://schemas.microsoft.com/office/drawing/2014/main" id="{45A26304-B6D1-4FF8-BFA1-1706E2FDB2A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11" name="Text 3">
          <a:extLst>
            <a:ext uri="{FF2B5EF4-FFF2-40B4-BE49-F238E27FC236}">
              <a16:creationId xmlns:a16="http://schemas.microsoft.com/office/drawing/2014/main" id="{2C6EAC95-0B87-49E9-9C88-50618EA382D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12" name="Text 3">
          <a:extLst>
            <a:ext uri="{FF2B5EF4-FFF2-40B4-BE49-F238E27FC236}">
              <a16:creationId xmlns:a16="http://schemas.microsoft.com/office/drawing/2014/main" id="{FF63490A-AEAD-495F-8D1A-A629D1EA34F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13" name="Text 3">
          <a:extLst>
            <a:ext uri="{FF2B5EF4-FFF2-40B4-BE49-F238E27FC236}">
              <a16:creationId xmlns:a16="http://schemas.microsoft.com/office/drawing/2014/main" id="{DAFFF6A9-0330-45B7-A62E-BCC4D882239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14" name="Text 3">
          <a:extLst>
            <a:ext uri="{FF2B5EF4-FFF2-40B4-BE49-F238E27FC236}">
              <a16:creationId xmlns:a16="http://schemas.microsoft.com/office/drawing/2014/main" id="{C09B7CBA-E825-488A-894C-F27649F6DDE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15" name="Text 3">
          <a:extLst>
            <a:ext uri="{FF2B5EF4-FFF2-40B4-BE49-F238E27FC236}">
              <a16:creationId xmlns:a16="http://schemas.microsoft.com/office/drawing/2014/main" id="{584EB75D-9AF1-465A-B108-DE55739BD3B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16" name="Text 3">
          <a:extLst>
            <a:ext uri="{FF2B5EF4-FFF2-40B4-BE49-F238E27FC236}">
              <a16:creationId xmlns:a16="http://schemas.microsoft.com/office/drawing/2014/main" id="{D9BF3E47-53F7-4668-9FBB-7883BCF5BF9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17" name="Text 3">
          <a:extLst>
            <a:ext uri="{FF2B5EF4-FFF2-40B4-BE49-F238E27FC236}">
              <a16:creationId xmlns:a16="http://schemas.microsoft.com/office/drawing/2014/main" id="{4044133D-6FAC-45BD-87A0-34AF3BA41B3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18" name="Text 3">
          <a:extLst>
            <a:ext uri="{FF2B5EF4-FFF2-40B4-BE49-F238E27FC236}">
              <a16:creationId xmlns:a16="http://schemas.microsoft.com/office/drawing/2014/main" id="{FC567848-0BAA-49B4-89FD-B08BFB4895D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19" name="Text 3">
          <a:extLst>
            <a:ext uri="{FF2B5EF4-FFF2-40B4-BE49-F238E27FC236}">
              <a16:creationId xmlns:a16="http://schemas.microsoft.com/office/drawing/2014/main" id="{1DAC2B3C-57BF-4FFE-B9C2-9F72BDE070F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20" name="Text 3">
          <a:extLst>
            <a:ext uri="{FF2B5EF4-FFF2-40B4-BE49-F238E27FC236}">
              <a16:creationId xmlns:a16="http://schemas.microsoft.com/office/drawing/2014/main" id="{0C906A24-54CD-45FC-B2BF-697ADD3C39F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21" name="Text 3">
          <a:extLst>
            <a:ext uri="{FF2B5EF4-FFF2-40B4-BE49-F238E27FC236}">
              <a16:creationId xmlns:a16="http://schemas.microsoft.com/office/drawing/2014/main" id="{4E8B4028-123F-4DFD-85B2-B120B546BB5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22" name="Text 3">
          <a:extLst>
            <a:ext uri="{FF2B5EF4-FFF2-40B4-BE49-F238E27FC236}">
              <a16:creationId xmlns:a16="http://schemas.microsoft.com/office/drawing/2014/main" id="{72A48462-7DA8-4601-AC7B-14DA36B419E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23" name="Text 3">
          <a:extLst>
            <a:ext uri="{FF2B5EF4-FFF2-40B4-BE49-F238E27FC236}">
              <a16:creationId xmlns:a16="http://schemas.microsoft.com/office/drawing/2014/main" id="{F26884B2-1F8C-4FD7-AAC7-76A5ACF2B09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24" name="Text 3">
          <a:extLst>
            <a:ext uri="{FF2B5EF4-FFF2-40B4-BE49-F238E27FC236}">
              <a16:creationId xmlns:a16="http://schemas.microsoft.com/office/drawing/2014/main" id="{B6CB77D8-C4C4-4633-99EE-7E2A70059F1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25" name="Text 3">
          <a:extLst>
            <a:ext uri="{FF2B5EF4-FFF2-40B4-BE49-F238E27FC236}">
              <a16:creationId xmlns:a16="http://schemas.microsoft.com/office/drawing/2014/main" id="{925142FD-EA61-472F-A10F-04384A9C55D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26" name="Text 3">
          <a:extLst>
            <a:ext uri="{FF2B5EF4-FFF2-40B4-BE49-F238E27FC236}">
              <a16:creationId xmlns:a16="http://schemas.microsoft.com/office/drawing/2014/main" id="{DA0D1B92-426A-428F-9C11-B77ADB34C03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27" name="Text 3">
          <a:extLst>
            <a:ext uri="{FF2B5EF4-FFF2-40B4-BE49-F238E27FC236}">
              <a16:creationId xmlns:a16="http://schemas.microsoft.com/office/drawing/2014/main" id="{C51E6DB1-D760-46AB-B9D5-4382D972BE7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28" name="Text 3">
          <a:extLst>
            <a:ext uri="{FF2B5EF4-FFF2-40B4-BE49-F238E27FC236}">
              <a16:creationId xmlns:a16="http://schemas.microsoft.com/office/drawing/2014/main" id="{B594F39B-ACB2-453F-A64A-14D801A67C8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29" name="Text 3">
          <a:extLst>
            <a:ext uri="{FF2B5EF4-FFF2-40B4-BE49-F238E27FC236}">
              <a16:creationId xmlns:a16="http://schemas.microsoft.com/office/drawing/2014/main" id="{2E97E1C3-2033-4D98-8CB7-1441ACFF22F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30" name="Text 3">
          <a:extLst>
            <a:ext uri="{FF2B5EF4-FFF2-40B4-BE49-F238E27FC236}">
              <a16:creationId xmlns:a16="http://schemas.microsoft.com/office/drawing/2014/main" id="{CA5C25EB-D2F3-456C-B577-125FE4BAF18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31" name="Text 3">
          <a:extLst>
            <a:ext uri="{FF2B5EF4-FFF2-40B4-BE49-F238E27FC236}">
              <a16:creationId xmlns:a16="http://schemas.microsoft.com/office/drawing/2014/main" id="{7A76C36A-EAA0-40D3-8E47-D2DE849EC0C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32" name="Text 3">
          <a:extLst>
            <a:ext uri="{FF2B5EF4-FFF2-40B4-BE49-F238E27FC236}">
              <a16:creationId xmlns:a16="http://schemas.microsoft.com/office/drawing/2014/main" id="{AFCCB663-DFB9-4DDE-8F0C-3F9C40BB3A7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33" name="Text 3">
          <a:extLst>
            <a:ext uri="{FF2B5EF4-FFF2-40B4-BE49-F238E27FC236}">
              <a16:creationId xmlns:a16="http://schemas.microsoft.com/office/drawing/2014/main" id="{5BE15E41-50E9-444B-ADBD-E8B08E4C1EE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34" name="Text 3">
          <a:extLst>
            <a:ext uri="{FF2B5EF4-FFF2-40B4-BE49-F238E27FC236}">
              <a16:creationId xmlns:a16="http://schemas.microsoft.com/office/drawing/2014/main" id="{2FA12347-5E8D-4719-97DC-D2C302A90CD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35" name="Text 3">
          <a:extLst>
            <a:ext uri="{FF2B5EF4-FFF2-40B4-BE49-F238E27FC236}">
              <a16:creationId xmlns:a16="http://schemas.microsoft.com/office/drawing/2014/main" id="{DC3A7C73-5E8F-4999-895F-81D34E4FC62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36" name="Text 3">
          <a:extLst>
            <a:ext uri="{FF2B5EF4-FFF2-40B4-BE49-F238E27FC236}">
              <a16:creationId xmlns:a16="http://schemas.microsoft.com/office/drawing/2014/main" id="{C9D44665-284C-46D7-A7C2-05A2D36A9CF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37" name="Text 3">
          <a:extLst>
            <a:ext uri="{FF2B5EF4-FFF2-40B4-BE49-F238E27FC236}">
              <a16:creationId xmlns:a16="http://schemas.microsoft.com/office/drawing/2014/main" id="{F12FE35A-319E-4B9A-84EE-98568033451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38" name="Text 3">
          <a:extLst>
            <a:ext uri="{FF2B5EF4-FFF2-40B4-BE49-F238E27FC236}">
              <a16:creationId xmlns:a16="http://schemas.microsoft.com/office/drawing/2014/main" id="{F6109933-58E5-4EAA-A941-0246E4121B6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39" name="Text 3">
          <a:extLst>
            <a:ext uri="{FF2B5EF4-FFF2-40B4-BE49-F238E27FC236}">
              <a16:creationId xmlns:a16="http://schemas.microsoft.com/office/drawing/2014/main" id="{C51605D6-AB84-4AAD-9F53-9434BF266AD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40" name="Text 3">
          <a:extLst>
            <a:ext uri="{FF2B5EF4-FFF2-40B4-BE49-F238E27FC236}">
              <a16:creationId xmlns:a16="http://schemas.microsoft.com/office/drawing/2014/main" id="{21BB5D34-C958-416D-A64E-CB2726CAE96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41" name="Text 3">
          <a:extLst>
            <a:ext uri="{FF2B5EF4-FFF2-40B4-BE49-F238E27FC236}">
              <a16:creationId xmlns:a16="http://schemas.microsoft.com/office/drawing/2014/main" id="{F135C9B4-87A3-4DFB-9303-8F777081243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42" name="Text 3">
          <a:extLst>
            <a:ext uri="{FF2B5EF4-FFF2-40B4-BE49-F238E27FC236}">
              <a16:creationId xmlns:a16="http://schemas.microsoft.com/office/drawing/2014/main" id="{63E16A93-2F4D-4D5F-AD16-C3CA713CCC3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43" name="Text 3">
          <a:extLst>
            <a:ext uri="{FF2B5EF4-FFF2-40B4-BE49-F238E27FC236}">
              <a16:creationId xmlns:a16="http://schemas.microsoft.com/office/drawing/2014/main" id="{9B9032D1-6A38-4108-A71E-7CB602D7431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44" name="Text 3">
          <a:extLst>
            <a:ext uri="{FF2B5EF4-FFF2-40B4-BE49-F238E27FC236}">
              <a16:creationId xmlns:a16="http://schemas.microsoft.com/office/drawing/2014/main" id="{D93BFBA8-3EDD-4AB5-8867-A05F2392AD5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45" name="Text 3">
          <a:extLst>
            <a:ext uri="{FF2B5EF4-FFF2-40B4-BE49-F238E27FC236}">
              <a16:creationId xmlns:a16="http://schemas.microsoft.com/office/drawing/2014/main" id="{070B920C-B92D-48A8-8583-3601AF4C1FF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46" name="Text 3">
          <a:extLst>
            <a:ext uri="{FF2B5EF4-FFF2-40B4-BE49-F238E27FC236}">
              <a16:creationId xmlns:a16="http://schemas.microsoft.com/office/drawing/2014/main" id="{59F13C24-B2E2-422D-AE4A-40318E15144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47" name="Text 3">
          <a:extLst>
            <a:ext uri="{FF2B5EF4-FFF2-40B4-BE49-F238E27FC236}">
              <a16:creationId xmlns:a16="http://schemas.microsoft.com/office/drawing/2014/main" id="{5EC73D23-9654-427F-B428-25F7A40F111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48" name="Text 3">
          <a:extLst>
            <a:ext uri="{FF2B5EF4-FFF2-40B4-BE49-F238E27FC236}">
              <a16:creationId xmlns:a16="http://schemas.microsoft.com/office/drawing/2014/main" id="{4F6489E5-D97E-43B5-A0E6-E298984498C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49" name="Text 3">
          <a:extLst>
            <a:ext uri="{FF2B5EF4-FFF2-40B4-BE49-F238E27FC236}">
              <a16:creationId xmlns:a16="http://schemas.microsoft.com/office/drawing/2014/main" id="{481A873D-8AC8-495F-AEBD-508B6201E11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50" name="Text 3">
          <a:extLst>
            <a:ext uri="{FF2B5EF4-FFF2-40B4-BE49-F238E27FC236}">
              <a16:creationId xmlns:a16="http://schemas.microsoft.com/office/drawing/2014/main" id="{82B9D963-7315-4366-828B-537D6F68451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51" name="Text 3">
          <a:extLst>
            <a:ext uri="{FF2B5EF4-FFF2-40B4-BE49-F238E27FC236}">
              <a16:creationId xmlns:a16="http://schemas.microsoft.com/office/drawing/2014/main" id="{1621D464-E8EE-46A1-A245-C27871B8353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52" name="Text 3">
          <a:extLst>
            <a:ext uri="{FF2B5EF4-FFF2-40B4-BE49-F238E27FC236}">
              <a16:creationId xmlns:a16="http://schemas.microsoft.com/office/drawing/2014/main" id="{11623CB0-3909-4608-9613-2AE874A4124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53" name="Text 3">
          <a:extLst>
            <a:ext uri="{FF2B5EF4-FFF2-40B4-BE49-F238E27FC236}">
              <a16:creationId xmlns:a16="http://schemas.microsoft.com/office/drawing/2014/main" id="{E2441688-24E2-43A1-B62A-42BEC75FC24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54" name="Text 3">
          <a:extLst>
            <a:ext uri="{FF2B5EF4-FFF2-40B4-BE49-F238E27FC236}">
              <a16:creationId xmlns:a16="http://schemas.microsoft.com/office/drawing/2014/main" id="{518D0477-54D7-44C7-93E9-186B3296D4D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55" name="Text 3">
          <a:extLst>
            <a:ext uri="{FF2B5EF4-FFF2-40B4-BE49-F238E27FC236}">
              <a16:creationId xmlns:a16="http://schemas.microsoft.com/office/drawing/2014/main" id="{CE27DBCE-7C3C-4E8C-9496-362A2C09AC7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56" name="Text 3">
          <a:extLst>
            <a:ext uri="{FF2B5EF4-FFF2-40B4-BE49-F238E27FC236}">
              <a16:creationId xmlns:a16="http://schemas.microsoft.com/office/drawing/2014/main" id="{B88B479E-9819-446C-9CB2-5495562D792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57" name="Text 3">
          <a:extLst>
            <a:ext uri="{FF2B5EF4-FFF2-40B4-BE49-F238E27FC236}">
              <a16:creationId xmlns:a16="http://schemas.microsoft.com/office/drawing/2014/main" id="{D511479C-ABF5-42EF-B9DF-0E5A6CC8D13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58" name="Text 3">
          <a:extLst>
            <a:ext uri="{FF2B5EF4-FFF2-40B4-BE49-F238E27FC236}">
              <a16:creationId xmlns:a16="http://schemas.microsoft.com/office/drawing/2014/main" id="{784E672A-905D-435B-B4F8-884726BF2FA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59" name="Text 3">
          <a:extLst>
            <a:ext uri="{FF2B5EF4-FFF2-40B4-BE49-F238E27FC236}">
              <a16:creationId xmlns:a16="http://schemas.microsoft.com/office/drawing/2014/main" id="{61505338-074B-4502-9D27-F6A079C0410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60" name="Text 3">
          <a:extLst>
            <a:ext uri="{FF2B5EF4-FFF2-40B4-BE49-F238E27FC236}">
              <a16:creationId xmlns:a16="http://schemas.microsoft.com/office/drawing/2014/main" id="{012753C0-3B13-4BDD-9010-4E0F0E33E82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61" name="Text 3">
          <a:extLst>
            <a:ext uri="{FF2B5EF4-FFF2-40B4-BE49-F238E27FC236}">
              <a16:creationId xmlns:a16="http://schemas.microsoft.com/office/drawing/2014/main" id="{907483DF-A998-4B98-8905-C996B74A1B2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62" name="Text 3">
          <a:extLst>
            <a:ext uri="{FF2B5EF4-FFF2-40B4-BE49-F238E27FC236}">
              <a16:creationId xmlns:a16="http://schemas.microsoft.com/office/drawing/2014/main" id="{25A2F622-74D2-4061-AA4F-101188C2BBA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63" name="Text 3">
          <a:extLst>
            <a:ext uri="{FF2B5EF4-FFF2-40B4-BE49-F238E27FC236}">
              <a16:creationId xmlns:a16="http://schemas.microsoft.com/office/drawing/2014/main" id="{7EBCAFB2-3B5B-4508-8FA1-C85B6623AB9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64" name="Text 3">
          <a:extLst>
            <a:ext uri="{FF2B5EF4-FFF2-40B4-BE49-F238E27FC236}">
              <a16:creationId xmlns:a16="http://schemas.microsoft.com/office/drawing/2014/main" id="{67CA8733-B12B-46FB-BAD1-0D6CE71DCDB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65" name="Text 3">
          <a:extLst>
            <a:ext uri="{FF2B5EF4-FFF2-40B4-BE49-F238E27FC236}">
              <a16:creationId xmlns:a16="http://schemas.microsoft.com/office/drawing/2014/main" id="{EC75169B-9C6A-437B-BDD7-2152E3E8599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66" name="Text 3">
          <a:extLst>
            <a:ext uri="{FF2B5EF4-FFF2-40B4-BE49-F238E27FC236}">
              <a16:creationId xmlns:a16="http://schemas.microsoft.com/office/drawing/2014/main" id="{A1CF30F1-6A07-4837-A765-5796922D6A6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67" name="Text 3">
          <a:extLst>
            <a:ext uri="{FF2B5EF4-FFF2-40B4-BE49-F238E27FC236}">
              <a16:creationId xmlns:a16="http://schemas.microsoft.com/office/drawing/2014/main" id="{0CDD72AB-F9A9-4190-9F27-9406FCCF10A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68" name="Text 3">
          <a:extLst>
            <a:ext uri="{FF2B5EF4-FFF2-40B4-BE49-F238E27FC236}">
              <a16:creationId xmlns:a16="http://schemas.microsoft.com/office/drawing/2014/main" id="{07BFDAF6-7E7E-4D78-BCB4-9D0320D4BEA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69" name="Text 3">
          <a:extLst>
            <a:ext uri="{FF2B5EF4-FFF2-40B4-BE49-F238E27FC236}">
              <a16:creationId xmlns:a16="http://schemas.microsoft.com/office/drawing/2014/main" id="{34A8A0BF-80F0-4581-B0BF-8FB0F8C2EE0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70" name="Text 3">
          <a:extLst>
            <a:ext uri="{FF2B5EF4-FFF2-40B4-BE49-F238E27FC236}">
              <a16:creationId xmlns:a16="http://schemas.microsoft.com/office/drawing/2014/main" id="{B7E3C44F-16C9-4CE5-9CD1-FD8D881773B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71" name="Text 3">
          <a:extLst>
            <a:ext uri="{FF2B5EF4-FFF2-40B4-BE49-F238E27FC236}">
              <a16:creationId xmlns:a16="http://schemas.microsoft.com/office/drawing/2014/main" id="{D5B0B2F8-C717-46CA-A8DE-42B10515875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72" name="Text 3">
          <a:extLst>
            <a:ext uri="{FF2B5EF4-FFF2-40B4-BE49-F238E27FC236}">
              <a16:creationId xmlns:a16="http://schemas.microsoft.com/office/drawing/2014/main" id="{56D51F50-1E90-4685-B975-0A14371CFB4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73" name="Text 3">
          <a:extLst>
            <a:ext uri="{FF2B5EF4-FFF2-40B4-BE49-F238E27FC236}">
              <a16:creationId xmlns:a16="http://schemas.microsoft.com/office/drawing/2014/main" id="{2F7EE936-D3E7-47C7-B740-18948AAEFE3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74" name="Text 3">
          <a:extLst>
            <a:ext uri="{FF2B5EF4-FFF2-40B4-BE49-F238E27FC236}">
              <a16:creationId xmlns:a16="http://schemas.microsoft.com/office/drawing/2014/main" id="{4470CD7A-AF72-4805-9DC2-18A41172B6F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75" name="Text 3">
          <a:extLst>
            <a:ext uri="{FF2B5EF4-FFF2-40B4-BE49-F238E27FC236}">
              <a16:creationId xmlns:a16="http://schemas.microsoft.com/office/drawing/2014/main" id="{EA7001F4-7946-40F3-9585-E766E09340C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76" name="Text 3">
          <a:extLst>
            <a:ext uri="{FF2B5EF4-FFF2-40B4-BE49-F238E27FC236}">
              <a16:creationId xmlns:a16="http://schemas.microsoft.com/office/drawing/2014/main" id="{C0C42AE5-4BF3-4CB7-B06A-3D5D11C931E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77" name="Text 3">
          <a:extLst>
            <a:ext uri="{FF2B5EF4-FFF2-40B4-BE49-F238E27FC236}">
              <a16:creationId xmlns:a16="http://schemas.microsoft.com/office/drawing/2014/main" id="{0C024AE5-AEDD-4752-89F4-066547D8D68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78" name="Text 3">
          <a:extLst>
            <a:ext uri="{FF2B5EF4-FFF2-40B4-BE49-F238E27FC236}">
              <a16:creationId xmlns:a16="http://schemas.microsoft.com/office/drawing/2014/main" id="{9A5C9EE3-5B6A-4715-A4E0-99E33FBAAEF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79" name="Text 3">
          <a:extLst>
            <a:ext uri="{FF2B5EF4-FFF2-40B4-BE49-F238E27FC236}">
              <a16:creationId xmlns:a16="http://schemas.microsoft.com/office/drawing/2014/main" id="{F4C89B40-0F46-44AC-A5FE-35768B577AD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80" name="Text 3">
          <a:extLst>
            <a:ext uri="{FF2B5EF4-FFF2-40B4-BE49-F238E27FC236}">
              <a16:creationId xmlns:a16="http://schemas.microsoft.com/office/drawing/2014/main" id="{C68C4E9E-5046-4EAB-B290-81F3C4D18DD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81" name="Text 3">
          <a:extLst>
            <a:ext uri="{FF2B5EF4-FFF2-40B4-BE49-F238E27FC236}">
              <a16:creationId xmlns:a16="http://schemas.microsoft.com/office/drawing/2014/main" id="{6391587F-0FEE-447B-AFF8-6B437D7FCB9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82" name="Text 3">
          <a:extLst>
            <a:ext uri="{FF2B5EF4-FFF2-40B4-BE49-F238E27FC236}">
              <a16:creationId xmlns:a16="http://schemas.microsoft.com/office/drawing/2014/main" id="{8B86ED11-9C34-40EF-B819-FBEF7E1AE2C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83" name="Text 3">
          <a:extLst>
            <a:ext uri="{FF2B5EF4-FFF2-40B4-BE49-F238E27FC236}">
              <a16:creationId xmlns:a16="http://schemas.microsoft.com/office/drawing/2014/main" id="{061A9C26-F1DB-4AC8-9111-84C346EFC33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84" name="Text 3">
          <a:extLst>
            <a:ext uri="{FF2B5EF4-FFF2-40B4-BE49-F238E27FC236}">
              <a16:creationId xmlns:a16="http://schemas.microsoft.com/office/drawing/2014/main" id="{2EBD9C2B-6B6B-4AE4-B098-78F9EEBCCC4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85" name="Text 3">
          <a:extLst>
            <a:ext uri="{FF2B5EF4-FFF2-40B4-BE49-F238E27FC236}">
              <a16:creationId xmlns:a16="http://schemas.microsoft.com/office/drawing/2014/main" id="{E2EA579A-DF53-40DE-A783-3F5D6C6EF4D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86" name="Text 3">
          <a:extLst>
            <a:ext uri="{FF2B5EF4-FFF2-40B4-BE49-F238E27FC236}">
              <a16:creationId xmlns:a16="http://schemas.microsoft.com/office/drawing/2014/main" id="{85E37C5F-EA45-4871-9269-7529BDD3D97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87" name="Text 3">
          <a:extLst>
            <a:ext uri="{FF2B5EF4-FFF2-40B4-BE49-F238E27FC236}">
              <a16:creationId xmlns:a16="http://schemas.microsoft.com/office/drawing/2014/main" id="{C08DE1E0-F96B-473A-BFC3-661294EF082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88" name="Text 3">
          <a:extLst>
            <a:ext uri="{FF2B5EF4-FFF2-40B4-BE49-F238E27FC236}">
              <a16:creationId xmlns:a16="http://schemas.microsoft.com/office/drawing/2014/main" id="{561C6B9B-0543-47C2-A041-8CEA30EF707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89" name="Text 3">
          <a:extLst>
            <a:ext uri="{FF2B5EF4-FFF2-40B4-BE49-F238E27FC236}">
              <a16:creationId xmlns:a16="http://schemas.microsoft.com/office/drawing/2014/main" id="{66B396D6-77E9-4290-AC78-41E43D2CE34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90" name="Text 3">
          <a:extLst>
            <a:ext uri="{FF2B5EF4-FFF2-40B4-BE49-F238E27FC236}">
              <a16:creationId xmlns:a16="http://schemas.microsoft.com/office/drawing/2014/main" id="{6C957405-0D9F-4979-9921-18C183139F7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91" name="Text 3">
          <a:extLst>
            <a:ext uri="{FF2B5EF4-FFF2-40B4-BE49-F238E27FC236}">
              <a16:creationId xmlns:a16="http://schemas.microsoft.com/office/drawing/2014/main" id="{6158B641-8944-42C9-93B6-3580C1F9B10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92" name="Text 3">
          <a:extLst>
            <a:ext uri="{FF2B5EF4-FFF2-40B4-BE49-F238E27FC236}">
              <a16:creationId xmlns:a16="http://schemas.microsoft.com/office/drawing/2014/main" id="{9AE86B8A-1C27-4094-A223-ACC80535CDD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93" name="Text 3">
          <a:extLst>
            <a:ext uri="{FF2B5EF4-FFF2-40B4-BE49-F238E27FC236}">
              <a16:creationId xmlns:a16="http://schemas.microsoft.com/office/drawing/2014/main" id="{D3B22541-0AFA-4796-AFB0-213140EC88F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94" name="Text 3">
          <a:extLst>
            <a:ext uri="{FF2B5EF4-FFF2-40B4-BE49-F238E27FC236}">
              <a16:creationId xmlns:a16="http://schemas.microsoft.com/office/drawing/2014/main" id="{AB659514-27C5-4A2C-AFA9-05E62F7FEC9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95" name="Text 3">
          <a:extLst>
            <a:ext uri="{FF2B5EF4-FFF2-40B4-BE49-F238E27FC236}">
              <a16:creationId xmlns:a16="http://schemas.microsoft.com/office/drawing/2014/main" id="{3C352944-7350-4210-B4FD-EAA6A7CE554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96" name="Text 3">
          <a:extLst>
            <a:ext uri="{FF2B5EF4-FFF2-40B4-BE49-F238E27FC236}">
              <a16:creationId xmlns:a16="http://schemas.microsoft.com/office/drawing/2014/main" id="{D51C762F-3C3C-479C-99F3-C0B60B38E6A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97" name="Text 3">
          <a:extLst>
            <a:ext uri="{FF2B5EF4-FFF2-40B4-BE49-F238E27FC236}">
              <a16:creationId xmlns:a16="http://schemas.microsoft.com/office/drawing/2014/main" id="{17E2806B-B591-46F1-9137-378D4A3E2AC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98" name="Text 3">
          <a:extLst>
            <a:ext uri="{FF2B5EF4-FFF2-40B4-BE49-F238E27FC236}">
              <a16:creationId xmlns:a16="http://schemas.microsoft.com/office/drawing/2014/main" id="{05EDF1CB-2976-4F5C-A1B2-F01E6CF973B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99" name="Text 3">
          <a:extLst>
            <a:ext uri="{FF2B5EF4-FFF2-40B4-BE49-F238E27FC236}">
              <a16:creationId xmlns:a16="http://schemas.microsoft.com/office/drawing/2014/main" id="{9CEAA39E-6BD7-41BD-8C1C-01855FE8FD6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00" name="Text 3">
          <a:extLst>
            <a:ext uri="{FF2B5EF4-FFF2-40B4-BE49-F238E27FC236}">
              <a16:creationId xmlns:a16="http://schemas.microsoft.com/office/drawing/2014/main" id="{E47E32F6-E8F0-45EB-AEE7-D451A501A1E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01" name="Text 3">
          <a:extLst>
            <a:ext uri="{FF2B5EF4-FFF2-40B4-BE49-F238E27FC236}">
              <a16:creationId xmlns:a16="http://schemas.microsoft.com/office/drawing/2014/main" id="{A911E269-09F3-472A-B99E-225C8FA5F54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02" name="Text 3">
          <a:extLst>
            <a:ext uri="{FF2B5EF4-FFF2-40B4-BE49-F238E27FC236}">
              <a16:creationId xmlns:a16="http://schemas.microsoft.com/office/drawing/2014/main" id="{06C781FD-EB30-4A2D-B9E4-64239C6DAAA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03" name="Text 3">
          <a:extLst>
            <a:ext uri="{FF2B5EF4-FFF2-40B4-BE49-F238E27FC236}">
              <a16:creationId xmlns:a16="http://schemas.microsoft.com/office/drawing/2014/main" id="{0A9421A3-890F-4194-8468-C52140D616C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04" name="Text 3">
          <a:extLst>
            <a:ext uri="{FF2B5EF4-FFF2-40B4-BE49-F238E27FC236}">
              <a16:creationId xmlns:a16="http://schemas.microsoft.com/office/drawing/2014/main" id="{EA9D9396-870B-4D87-81AA-55310D3F04D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05" name="Text 3">
          <a:extLst>
            <a:ext uri="{FF2B5EF4-FFF2-40B4-BE49-F238E27FC236}">
              <a16:creationId xmlns:a16="http://schemas.microsoft.com/office/drawing/2014/main" id="{4BEAAEB5-B399-4A4B-9A33-D83A20703F9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06" name="Text 3">
          <a:extLst>
            <a:ext uri="{FF2B5EF4-FFF2-40B4-BE49-F238E27FC236}">
              <a16:creationId xmlns:a16="http://schemas.microsoft.com/office/drawing/2014/main" id="{35894150-993D-41E7-86E1-1E507B2CD25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07" name="Text 3">
          <a:extLst>
            <a:ext uri="{FF2B5EF4-FFF2-40B4-BE49-F238E27FC236}">
              <a16:creationId xmlns:a16="http://schemas.microsoft.com/office/drawing/2014/main" id="{6D1F3069-766F-4251-B391-C596A27242A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08" name="Text 3">
          <a:extLst>
            <a:ext uri="{FF2B5EF4-FFF2-40B4-BE49-F238E27FC236}">
              <a16:creationId xmlns:a16="http://schemas.microsoft.com/office/drawing/2014/main" id="{C0536C04-EE7A-4D15-9411-219098C28F2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09" name="Text 3">
          <a:extLst>
            <a:ext uri="{FF2B5EF4-FFF2-40B4-BE49-F238E27FC236}">
              <a16:creationId xmlns:a16="http://schemas.microsoft.com/office/drawing/2014/main" id="{7FD6FF51-D3AF-4088-8AF4-3F793DB5CE6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10" name="Text 3">
          <a:extLst>
            <a:ext uri="{FF2B5EF4-FFF2-40B4-BE49-F238E27FC236}">
              <a16:creationId xmlns:a16="http://schemas.microsoft.com/office/drawing/2014/main" id="{CEB20166-9E2B-4860-A591-908B4AB3A33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11" name="Text 3">
          <a:extLst>
            <a:ext uri="{FF2B5EF4-FFF2-40B4-BE49-F238E27FC236}">
              <a16:creationId xmlns:a16="http://schemas.microsoft.com/office/drawing/2014/main" id="{E352FDAB-7254-48EA-8E77-ACD159E9CE3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12" name="Text 3">
          <a:extLst>
            <a:ext uri="{FF2B5EF4-FFF2-40B4-BE49-F238E27FC236}">
              <a16:creationId xmlns:a16="http://schemas.microsoft.com/office/drawing/2014/main" id="{9E9AFCEB-21A9-4076-B18C-1E68839E5A5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13" name="Text 3">
          <a:extLst>
            <a:ext uri="{FF2B5EF4-FFF2-40B4-BE49-F238E27FC236}">
              <a16:creationId xmlns:a16="http://schemas.microsoft.com/office/drawing/2014/main" id="{BE77B6F4-5AB7-4853-B19E-5E89CB21B12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14" name="Text 3">
          <a:extLst>
            <a:ext uri="{FF2B5EF4-FFF2-40B4-BE49-F238E27FC236}">
              <a16:creationId xmlns:a16="http://schemas.microsoft.com/office/drawing/2014/main" id="{44DA58FB-9995-48FD-BBB8-DAD6068BD74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15" name="Text 3">
          <a:extLst>
            <a:ext uri="{FF2B5EF4-FFF2-40B4-BE49-F238E27FC236}">
              <a16:creationId xmlns:a16="http://schemas.microsoft.com/office/drawing/2014/main" id="{79607C16-ED3B-49CF-8B3E-7A44B5C7F49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16" name="Text 3">
          <a:extLst>
            <a:ext uri="{FF2B5EF4-FFF2-40B4-BE49-F238E27FC236}">
              <a16:creationId xmlns:a16="http://schemas.microsoft.com/office/drawing/2014/main" id="{7F37B19D-7CE6-4290-B2F2-8B341EEFB8A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17" name="Text 3">
          <a:extLst>
            <a:ext uri="{FF2B5EF4-FFF2-40B4-BE49-F238E27FC236}">
              <a16:creationId xmlns:a16="http://schemas.microsoft.com/office/drawing/2014/main" id="{84E49A2D-74E2-4B22-941F-670B87CDEAB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18" name="Text 3">
          <a:extLst>
            <a:ext uri="{FF2B5EF4-FFF2-40B4-BE49-F238E27FC236}">
              <a16:creationId xmlns:a16="http://schemas.microsoft.com/office/drawing/2014/main" id="{F879E5D4-D722-4D94-8FAF-68B6D25B2BA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19" name="Text 3">
          <a:extLst>
            <a:ext uri="{FF2B5EF4-FFF2-40B4-BE49-F238E27FC236}">
              <a16:creationId xmlns:a16="http://schemas.microsoft.com/office/drawing/2014/main" id="{C692FB82-09D4-4FD1-8062-238C2F517EE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20" name="Text 3">
          <a:extLst>
            <a:ext uri="{FF2B5EF4-FFF2-40B4-BE49-F238E27FC236}">
              <a16:creationId xmlns:a16="http://schemas.microsoft.com/office/drawing/2014/main" id="{C473AA4C-EDD4-40EE-895D-84127654748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21" name="Text 3">
          <a:extLst>
            <a:ext uri="{FF2B5EF4-FFF2-40B4-BE49-F238E27FC236}">
              <a16:creationId xmlns:a16="http://schemas.microsoft.com/office/drawing/2014/main" id="{4ED0B837-1132-48F0-B58D-81CC1EFB86F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22" name="Text 3">
          <a:extLst>
            <a:ext uri="{FF2B5EF4-FFF2-40B4-BE49-F238E27FC236}">
              <a16:creationId xmlns:a16="http://schemas.microsoft.com/office/drawing/2014/main" id="{24DDA75F-B1BA-4300-B809-757623CF847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23" name="Text 3">
          <a:extLst>
            <a:ext uri="{FF2B5EF4-FFF2-40B4-BE49-F238E27FC236}">
              <a16:creationId xmlns:a16="http://schemas.microsoft.com/office/drawing/2014/main" id="{604E491F-9A34-4C42-B2CF-DB469CD9947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24" name="Text 3">
          <a:extLst>
            <a:ext uri="{FF2B5EF4-FFF2-40B4-BE49-F238E27FC236}">
              <a16:creationId xmlns:a16="http://schemas.microsoft.com/office/drawing/2014/main" id="{9A9F35B4-ED68-42CF-A7C2-ADFA21538E6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25" name="Text 3">
          <a:extLst>
            <a:ext uri="{FF2B5EF4-FFF2-40B4-BE49-F238E27FC236}">
              <a16:creationId xmlns:a16="http://schemas.microsoft.com/office/drawing/2014/main" id="{A3D4DBCF-8B65-411F-AC9C-6DFACCE45E0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26" name="Text 3">
          <a:extLst>
            <a:ext uri="{FF2B5EF4-FFF2-40B4-BE49-F238E27FC236}">
              <a16:creationId xmlns:a16="http://schemas.microsoft.com/office/drawing/2014/main" id="{74FDD565-E993-49BB-9447-EA18D223BB2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27" name="Text 3">
          <a:extLst>
            <a:ext uri="{FF2B5EF4-FFF2-40B4-BE49-F238E27FC236}">
              <a16:creationId xmlns:a16="http://schemas.microsoft.com/office/drawing/2014/main" id="{CA98B9D3-0209-472E-90C6-AA49FB7605B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28" name="Text 3">
          <a:extLst>
            <a:ext uri="{FF2B5EF4-FFF2-40B4-BE49-F238E27FC236}">
              <a16:creationId xmlns:a16="http://schemas.microsoft.com/office/drawing/2014/main" id="{A3773D8D-4CC1-4BD4-8692-D721FDD5F44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29" name="Text 3">
          <a:extLst>
            <a:ext uri="{FF2B5EF4-FFF2-40B4-BE49-F238E27FC236}">
              <a16:creationId xmlns:a16="http://schemas.microsoft.com/office/drawing/2014/main" id="{D949CC9D-B7B2-48FF-B39D-6EC247BDBAA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30" name="Text 3">
          <a:extLst>
            <a:ext uri="{FF2B5EF4-FFF2-40B4-BE49-F238E27FC236}">
              <a16:creationId xmlns:a16="http://schemas.microsoft.com/office/drawing/2014/main" id="{B9EBF87B-C6DA-4AD5-89EF-322C121E1F6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31" name="Text 3">
          <a:extLst>
            <a:ext uri="{FF2B5EF4-FFF2-40B4-BE49-F238E27FC236}">
              <a16:creationId xmlns:a16="http://schemas.microsoft.com/office/drawing/2014/main" id="{006EBE5F-C45E-4A05-B5E8-00B449FEE78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32" name="Text 3">
          <a:extLst>
            <a:ext uri="{FF2B5EF4-FFF2-40B4-BE49-F238E27FC236}">
              <a16:creationId xmlns:a16="http://schemas.microsoft.com/office/drawing/2014/main" id="{714C2300-4803-47CD-A6A7-95EF13F1F04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33" name="Text 3">
          <a:extLst>
            <a:ext uri="{FF2B5EF4-FFF2-40B4-BE49-F238E27FC236}">
              <a16:creationId xmlns:a16="http://schemas.microsoft.com/office/drawing/2014/main" id="{4AFCF2B4-0B38-4BDA-8F1B-8446BD6BDA4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34" name="Text 3">
          <a:extLst>
            <a:ext uri="{FF2B5EF4-FFF2-40B4-BE49-F238E27FC236}">
              <a16:creationId xmlns:a16="http://schemas.microsoft.com/office/drawing/2014/main" id="{01EA2E5E-7B4D-4AC3-AA71-01AD2888715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35" name="Text 3">
          <a:extLst>
            <a:ext uri="{FF2B5EF4-FFF2-40B4-BE49-F238E27FC236}">
              <a16:creationId xmlns:a16="http://schemas.microsoft.com/office/drawing/2014/main" id="{277C0DAD-8918-445A-AD95-0A176F70892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36" name="Text 3">
          <a:extLst>
            <a:ext uri="{FF2B5EF4-FFF2-40B4-BE49-F238E27FC236}">
              <a16:creationId xmlns:a16="http://schemas.microsoft.com/office/drawing/2014/main" id="{5D7885FA-FE69-4A17-848B-0371A52AEE2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37" name="Text 3">
          <a:extLst>
            <a:ext uri="{FF2B5EF4-FFF2-40B4-BE49-F238E27FC236}">
              <a16:creationId xmlns:a16="http://schemas.microsoft.com/office/drawing/2014/main" id="{F4436EFF-AB7D-4E3F-8EE1-79A8556F8DC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38" name="Text 3">
          <a:extLst>
            <a:ext uri="{FF2B5EF4-FFF2-40B4-BE49-F238E27FC236}">
              <a16:creationId xmlns:a16="http://schemas.microsoft.com/office/drawing/2014/main" id="{A1DE6345-C6FB-409D-9177-961BB983546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39" name="Text 3">
          <a:extLst>
            <a:ext uri="{FF2B5EF4-FFF2-40B4-BE49-F238E27FC236}">
              <a16:creationId xmlns:a16="http://schemas.microsoft.com/office/drawing/2014/main" id="{6C40F4DB-A699-4687-BB50-CFAA73B7234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40" name="Text 3">
          <a:extLst>
            <a:ext uri="{FF2B5EF4-FFF2-40B4-BE49-F238E27FC236}">
              <a16:creationId xmlns:a16="http://schemas.microsoft.com/office/drawing/2014/main" id="{2DA736CB-95DC-477D-9272-EC8038EA14D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41" name="Text 3">
          <a:extLst>
            <a:ext uri="{FF2B5EF4-FFF2-40B4-BE49-F238E27FC236}">
              <a16:creationId xmlns:a16="http://schemas.microsoft.com/office/drawing/2014/main" id="{E86E243E-BE0A-4845-80EC-67378CC5124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42" name="Text 3">
          <a:extLst>
            <a:ext uri="{FF2B5EF4-FFF2-40B4-BE49-F238E27FC236}">
              <a16:creationId xmlns:a16="http://schemas.microsoft.com/office/drawing/2014/main" id="{22F9915E-01B8-4C82-8FA7-D012D8F0706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43" name="Text 3">
          <a:extLst>
            <a:ext uri="{FF2B5EF4-FFF2-40B4-BE49-F238E27FC236}">
              <a16:creationId xmlns:a16="http://schemas.microsoft.com/office/drawing/2014/main" id="{04F86A83-479B-4FB4-9C04-816794D8B39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44" name="Text 3">
          <a:extLst>
            <a:ext uri="{FF2B5EF4-FFF2-40B4-BE49-F238E27FC236}">
              <a16:creationId xmlns:a16="http://schemas.microsoft.com/office/drawing/2014/main" id="{E8C8E9E4-FB7C-45D6-B0FB-C755750FB1D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45" name="Text 3">
          <a:extLst>
            <a:ext uri="{FF2B5EF4-FFF2-40B4-BE49-F238E27FC236}">
              <a16:creationId xmlns:a16="http://schemas.microsoft.com/office/drawing/2014/main" id="{ADC80198-2601-471F-8414-144DC515315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46" name="Text 3">
          <a:extLst>
            <a:ext uri="{FF2B5EF4-FFF2-40B4-BE49-F238E27FC236}">
              <a16:creationId xmlns:a16="http://schemas.microsoft.com/office/drawing/2014/main" id="{F32CCC15-674A-44F5-AB56-3823DD706FC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47" name="Text 3">
          <a:extLst>
            <a:ext uri="{FF2B5EF4-FFF2-40B4-BE49-F238E27FC236}">
              <a16:creationId xmlns:a16="http://schemas.microsoft.com/office/drawing/2014/main" id="{D9908B32-DE87-4442-BBD6-E2A2D5B6EB3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48" name="Text 3">
          <a:extLst>
            <a:ext uri="{FF2B5EF4-FFF2-40B4-BE49-F238E27FC236}">
              <a16:creationId xmlns:a16="http://schemas.microsoft.com/office/drawing/2014/main" id="{26597893-77F8-4419-8D99-05EF7C3C443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49" name="Text 3">
          <a:extLst>
            <a:ext uri="{FF2B5EF4-FFF2-40B4-BE49-F238E27FC236}">
              <a16:creationId xmlns:a16="http://schemas.microsoft.com/office/drawing/2014/main" id="{ACEF00D0-8401-4155-A43B-7F87C9DEB5B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" name="Text 3">
          <a:extLst>
            <a:ext uri="{FF2B5EF4-FFF2-40B4-BE49-F238E27FC236}">
              <a16:creationId xmlns:a16="http://schemas.microsoft.com/office/drawing/2014/main" id="{9DE6644D-F2B3-4850-9EDC-56390A9288F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" name="Text 3">
          <a:extLst>
            <a:ext uri="{FF2B5EF4-FFF2-40B4-BE49-F238E27FC236}">
              <a16:creationId xmlns:a16="http://schemas.microsoft.com/office/drawing/2014/main" id="{18AB2F73-9C8A-4651-B06A-BF7CD8B92D2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" name="Text 3">
          <a:extLst>
            <a:ext uri="{FF2B5EF4-FFF2-40B4-BE49-F238E27FC236}">
              <a16:creationId xmlns:a16="http://schemas.microsoft.com/office/drawing/2014/main" id="{7D206838-1DE1-42DC-9E24-5D1A6B1D225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" name="Text 3">
          <a:extLst>
            <a:ext uri="{FF2B5EF4-FFF2-40B4-BE49-F238E27FC236}">
              <a16:creationId xmlns:a16="http://schemas.microsoft.com/office/drawing/2014/main" id="{C0959755-A49F-44CD-A7AD-5C5D0698AF5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" name="Text 3">
          <a:extLst>
            <a:ext uri="{FF2B5EF4-FFF2-40B4-BE49-F238E27FC236}">
              <a16:creationId xmlns:a16="http://schemas.microsoft.com/office/drawing/2014/main" id="{404D7173-8CEB-4E33-B038-DA98C239E95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" name="Text 3">
          <a:extLst>
            <a:ext uri="{FF2B5EF4-FFF2-40B4-BE49-F238E27FC236}">
              <a16:creationId xmlns:a16="http://schemas.microsoft.com/office/drawing/2014/main" id="{9FCE7ED1-0C32-415C-A365-AFD0037179D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" name="Text 3">
          <a:extLst>
            <a:ext uri="{FF2B5EF4-FFF2-40B4-BE49-F238E27FC236}">
              <a16:creationId xmlns:a16="http://schemas.microsoft.com/office/drawing/2014/main" id="{3518E91B-9F3D-4F65-B5F5-EE4C4904437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" name="Text 3">
          <a:extLst>
            <a:ext uri="{FF2B5EF4-FFF2-40B4-BE49-F238E27FC236}">
              <a16:creationId xmlns:a16="http://schemas.microsoft.com/office/drawing/2014/main" id="{15D2073D-C212-4DD1-82AB-6DB1A8AACF2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" name="Text 3">
          <a:extLst>
            <a:ext uri="{FF2B5EF4-FFF2-40B4-BE49-F238E27FC236}">
              <a16:creationId xmlns:a16="http://schemas.microsoft.com/office/drawing/2014/main" id="{66EC1C53-0F23-4B78-B946-F38D2A71208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" name="Text 3">
          <a:extLst>
            <a:ext uri="{FF2B5EF4-FFF2-40B4-BE49-F238E27FC236}">
              <a16:creationId xmlns:a16="http://schemas.microsoft.com/office/drawing/2014/main" id="{539B252D-169A-42F8-9858-F38011C984E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" name="Text 3">
          <a:extLst>
            <a:ext uri="{FF2B5EF4-FFF2-40B4-BE49-F238E27FC236}">
              <a16:creationId xmlns:a16="http://schemas.microsoft.com/office/drawing/2014/main" id="{A70BAC20-CDAE-457C-BFE3-204CEEC1EF9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" name="Text 3">
          <a:extLst>
            <a:ext uri="{FF2B5EF4-FFF2-40B4-BE49-F238E27FC236}">
              <a16:creationId xmlns:a16="http://schemas.microsoft.com/office/drawing/2014/main" id="{9448CAF1-9D72-4271-AB19-B02EB810672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" name="Text 3">
          <a:extLst>
            <a:ext uri="{FF2B5EF4-FFF2-40B4-BE49-F238E27FC236}">
              <a16:creationId xmlns:a16="http://schemas.microsoft.com/office/drawing/2014/main" id="{A9EB7FDF-78DB-451B-88B2-6E6268CA33E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" name="Text 3">
          <a:extLst>
            <a:ext uri="{FF2B5EF4-FFF2-40B4-BE49-F238E27FC236}">
              <a16:creationId xmlns:a16="http://schemas.microsoft.com/office/drawing/2014/main" id="{5021B6AE-A796-428A-B55B-E6724CA9721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6" name="Text 3">
          <a:extLst>
            <a:ext uri="{FF2B5EF4-FFF2-40B4-BE49-F238E27FC236}">
              <a16:creationId xmlns:a16="http://schemas.microsoft.com/office/drawing/2014/main" id="{1C37862E-1501-43E4-9BB0-C30B431DAA4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7" name="Text 3">
          <a:extLst>
            <a:ext uri="{FF2B5EF4-FFF2-40B4-BE49-F238E27FC236}">
              <a16:creationId xmlns:a16="http://schemas.microsoft.com/office/drawing/2014/main" id="{953CC50C-1009-4C6A-9186-E5764CCDD8D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8" name="Text 3">
          <a:extLst>
            <a:ext uri="{FF2B5EF4-FFF2-40B4-BE49-F238E27FC236}">
              <a16:creationId xmlns:a16="http://schemas.microsoft.com/office/drawing/2014/main" id="{8B3E2CC1-A343-4713-B977-71CA963DFEB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9" name="Text 3">
          <a:extLst>
            <a:ext uri="{FF2B5EF4-FFF2-40B4-BE49-F238E27FC236}">
              <a16:creationId xmlns:a16="http://schemas.microsoft.com/office/drawing/2014/main" id="{CE8BB082-FE62-4E12-8698-EA3ACB4B399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0" name="Text 3">
          <a:extLst>
            <a:ext uri="{FF2B5EF4-FFF2-40B4-BE49-F238E27FC236}">
              <a16:creationId xmlns:a16="http://schemas.microsoft.com/office/drawing/2014/main" id="{438F2272-1C97-4565-B608-56683C479FF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1" name="Text 3">
          <a:extLst>
            <a:ext uri="{FF2B5EF4-FFF2-40B4-BE49-F238E27FC236}">
              <a16:creationId xmlns:a16="http://schemas.microsoft.com/office/drawing/2014/main" id="{3669D375-0C3B-4560-B50A-4511829104C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2" name="Text 3">
          <a:extLst>
            <a:ext uri="{FF2B5EF4-FFF2-40B4-BE49-F238E27FC236}">
              <a16:creationId xmlns:a16="http://schemas.microsoft.com/office/drawing/2014/main" id="{9CD783C8-D38F-41C9-966C-4389C38A5D7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3" name="Text 3">
          <a:extLst>
            <a:ext uri="{FF2B5EF4-FFF2-40B4-BE49-F238E27FC236}">
              <a16:creationId xmlns:a16="http://schemas.microsoft.com/office/drawing/2014/main" id="{6CA49297-FBD6-465C-8D57-D2757FF8387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4" name="Text 3">
          <a:extLst>
            <a:ext uri="{FF2B5EF4-FFF2-40B4-BE49-F238E27FC236}">
              <a16:creationId xmlns:a16="http://schemas.microsoft.com/office/drawing/2014/main" id="{7CFB3602-CD39-4612-8B35-1E07E458FAF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5" name="Text 3">
          <a:extLst>
            <a:ext uri="{FF2B5EF4-FFF2-40B4-BE49-F238E27FC236}">
              <a16:creationId xmlns:a16="http://schemas.microsoft.com/office/drawing/2014/main" id="{643CE53F-BFAD-45AF-9B69-78CC1BFD75A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6" name="Text 3">
          <a:extLst>
            <a:ext uri="{FF2B5EF4-FFF2-40B4-BE49-F238E27FC236}">
              <a16:creationId xmlns:a16="http://schemas.microsoft.com/office/drawing/2014/main" id="{0AF1DD75-A2CE-4AA9-9AB0-CF0AE010B1F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7" name="Text 3">
          <a:extLst>
            <a:ext uri="{FF2B5EF4-FFF2-40B4-BE49-F238E27FC236}">
              <a16:creationId xmlns:a16="http://schemas.microsoft.com/office/drawing/2014/main" id="{B1907082-F03E-4718-BAFC-8F9A96F69B6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8" name="Text 3">
          <a:extLst>
            <a:ext uri="{FF2B5EF4-FFF2-40B4-BE49-F238E27FC236}">
              <a16:creationId xmlns:a16="http://schemas.microsoft.com/office/drawing/2014/main" id="{66412198-A6F0-483C-A9BB-93BE1EB1BD5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9" name="Text 3">
          <a:extLst>
            <a:ext uri="{FF2B5EF4-FFF2-40B4-BE49-F238E27FC236}">
              <a16:creationId xmlns:a16="http://schemas.microsoft.com/office/drawing/2014/main" id="{788148E0-1943-46C3-8EAF-CD2FF66AE5A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0" name="Text 3">
          <a:extLst>
            <a:ext uri="{FF2B5EF4-FFF2-40B4-BE49-F238E27FC236}">
              <a16:creationId xmlns:a16="http://schemas.microsoft.com/office/drawing/2014/main" id="{FC2AE994-1002-4F37-BE02-DDDA2DEDFBF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1" name="Text 3">
          <a:extLst>
            <a:ext uri="{FF2B5EF4-FFF2-40B4-BE49-F238E27FC236}">
              <a16:creationId xmlns:a16="http://schemas.microsoft.com/office/drawing/2014/main" id="{072429B6-3472-49BB-86DA-44AA3549FE8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2" name="Text 3">
          <a:extLst>
            <a:ext uri="{FF2B5EF4-FFF2-40B4-BE49-F238E27FC236}">
              <a16:creationId xmlns:a16="http://schemas.microsoft.com/office/drawing/2014/main" id="{96385696-F6E5-44C7-A5BB-B3EBF813352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3" name="Text 3">
          <a:extLst>
            <a:ext uri="{FF2B5EF4-FFF2-40B4-BE49-F238E27FC236}">
              <a16:creationId xmlns:a16="http://schemas.microsoft.com/office/drawing/2014/main" id="{1D95D39A-478D-4395-90D4-26C76C08DB4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4" name="Text 3">
          <a:extLst>
            <a:ext uri="{FF2B5EF4-FFF2-40B4-BE49-F238E27FC236}">
              <a16:creationId xmlns:a16="http://schemas.microsoft.com/office/drawing/2014/main" id="{CCD8AB90-95E1-4AF8-84C7-001EA923649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5" name="Text 3">
          <a:extLst>
            <a:ext uri="{FF2B5EF4-FFF2-40B4-BE49-F238E27FC236}">
              <a16:creationId xmlns:a16="http://schemas.microsoft.com/office/drawing/2014/main" id="{3D0CB0FC-2359-427D-AC28-50E06A915D2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6" name="Text 3">
          <a:extLst>
            <a:ext uri="{FF2B5EF4-FFF2-40B4-BE49-F238E27FC236}">
              <a16:creationId xmlns:a16="http://schemas.microsoft.com/office/drawing/2014/main" id="{E79679F6-4DD8-4045-8F9C-921FE659AA3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7" name="Text 3">
          <a:extLst>
            <a:ext uri="{FF2B5EF4-FFF2-40B4-BE49-F238E27FC236}">
              <a16:creationId xmlns:a16="http://schemas.microsoft.com/office/drawing/2014/main" id="{AAAE012E-93F2-4232-AFA8-51BC9D53ACB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8" name="Text 3">
          <a:extLst>
            <a:ext uri="{FF2B5EF4-FFF2-40B4-BE49-F238E27FC236}">
              <a16:creationId xmlns:a16="http://schemas.microsoft.com/office/drawing/2014/main" id="{8F74EE13-FF0E-4795-8EA7-101BDD37B9B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9" name="Text 3">
          <a:extLst>
            <a:ext uri="{FF2B5EF4-FFF2-40B4-BE49-F238E27FC236}">
              <a16:creationId xmlns:a16="http://schemas.microsoft.com/office/drawing/2014/main" id="{45477FBE-E9C7-4D74-A58A-310F264ECC2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0" name="Text 3">
          <a:extLst>
            <a:ext uri="{FF2B5EF4-FFF2-40B4-BE49-F238E27FC236}">
              <a16:creationId xmlns:a16="http://schemas.microsoft.com/office/drawing/2014/main" id="{EF8967B8-8019-4E49-8B8C-E988DA40871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1" name="Text 3">
          <a:extLst>
            <a:ext uri="{FF2B5EF4-FFF2-40B4-BE49-F238E27FC236}">
              <a16:creationId xmlns:a16="http://schemas.microsoft.com/office/drawing/2014/main" id="{A65292DB-71B9-49D6-91E5-DB5BF370C22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2" name="Text 3">
          <a:extLst>
            <a:ext uri="{FF2B5EF4-FFF2-40B4-BE49-F238E27FC236}">
              <a16:creationId xmlns:a16="http://schemas.microsoft.com/office/drawing/2014/main" id="{6CF33590-BFD0-4E23-ADB7-81F10A8605B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3" name="Text 3">
          <a:extLst>
            <a:ext uri="{FF2B5EF4-FFF2-40B4-BE49-F238E27FC236}">
              <a16:creationId xmlns:a16="http://schemas.microsoft.com/office/drawing/2014/main" id="{95D9B53D-FCB6-4B1E-A779-B85BB5E7DE5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4" name="Text 3">
          <a:extLst>
            <a:ext uri="{FF2B5EF4-FFF2-40B4-BE49-F238E27FC236}">
              <a16:creationId xmlns:a16="http://schemas.microsoft.com/office/drawing/2014/main" id="{697EDA88-AD06-486F-B6DE-B9EED9D4BF5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5" name="Text 3">
          <a:extLst>
            <a:ext uri="{FF2B5EF4-FFF2-40B4-BE49-F238E27FC236}">
              <a16:creationId xmlns:a16="http://schemas.microsoft.com/office/drawing/2014/main" id="{E2F9E9BD-3697-45B2-8CF3-3C0498B1313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6" name="Text 3">
          <a:extLst>
            <a:ext uri="{FF2B5EF4-FFF2-40B4-BE49-F238E27FC236}">
              <a16:creationId xmlns:a16="http://schemas.microsoft.com/office/drawing/2014/main" id="{8E7CABFC-6CCC-4A4A-86DE-76B655D5714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7" name="Text 3">
          <a:extLst>
            <a:ext uri="{FF2B5EF4-FFF2-40B4-BE49-F238E27FC236}">
              <a16:creationId xmlns:a16="http://schemas.microsoft.com/office/drawing/2014/main" id="{84119EA7-A92C-4263-8C33-BB33AE05233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8" name="Text 3">
          <a:extLst>
            <a:ext uri="{FF2B5EF4-FFF2-40B4-BE49-F238E27FC236}">
              <a16:creationId xmlns:a16="http://schemas.microsoft.com/office/drawing/2014/main" id="{7125C66D-1115-445A-9CF1-3ABAB9BCECE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9" name="Text 3">
          <a:extLst>
            <a:ext uri="{FF2B5EF4-FFF2-40B4-BE49-F238E27FC236}">
              <a16:creationId xmlns:a16="http://schemas.microsoft.com/office/drawing/2014/main" id="{9062A566-0BF7-47EB-9109-DF353A43C3C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0" name="Text 3">
          <a:extLst>
            <a:ext uri="{FF2B5EF4-FFF2-40B4-BE49-F238E27FC236}">
              <a16:creationId xmlns:a16="http://schemas.microsoft.com/office/drawing/2014/main" id="{A3AA905B-7CF4-4273-9B86-47E64A88CDB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1" name="Text 3">
          <a:extLst>
            <a:ext uri="{FF2B5EF4-FFF2-40B4-BE49-F238E27FC236}">
              <a16:creationId xmlns:a16="http://schemas.microsoft.com/office/drawing/2014/main" id="{2A83B99F-13D5-4323-8B0D-067CC5A6C10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2" name="Text 3">
          <a:extLst>
            <a:ext uri="{FF2B5EF4-FFF2-40B4-BE49-F238E27FC236}">
              <a16:creationId xmlns:a16="http://schemas.microsoft.com/office/drawing/2014/main" id="{0A54E5EC-6F3C-462F-85CD-60DBD005E48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3" name="Text 3">
          <a:extLst>
            <a:ext uri="{FF2B5EF4-FFF2-40B4-BE49-F238E27FC236}">
              <a16:creationId xmlns:a16="http://schemas.microsoft.com/office/drawing/2014/main" id="{1962B3A9-5986-4B4D-A718-D0463529ABC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4" name="Text 3">
          <a:extLst>
            <a:ext uri="{FF2B5EF4-FFF2-40B4-BE49-F238E27FC236}">
              <a16:creationId xmlns:a16="http://schemas.microsoft.com/office/drawing/2014/main" id="{E089E6A2-DF02-466C-BCB2-FEC859A46BE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5" name="Text 3">
          <a:extLst>
            <a:ext uri="{FF2B5EF4-FFF2-40B4-BE49-F238E27FC236}">
              <a16:creationId xmlns:a16="http://schemas.microsoft.com/office/drawing/2014/main" id="{795971BF-8342-462C-A319-5A0F06B2382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6" name="Text 3">
          <a:extLst>
            <a:ext uri="{FF2B5EF4-FFF2-40B4-BE49-F238E27FC236}">
              <a16:creationId xmlns:a16="http://schemas.microsoft.com/office/drawing/2014/main" id="{CF33A0B3-744C-42F2-981D-F99C5E9CD32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7" name="Text 3">
          <a:extLst>
            <a:ext uri="{FF2B5EF4-FFF2-40B4-BE49-F238E27FC236}">
              <a16:creationId xmlns:a16="http://schemas.microsoft.com/office/drawing/2014/main" id="{A6F94553-9EFF-4D0B-AB10-21991F64CE2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8" name="Text 3">
          <a:extLst>
            <a:ext uri="{FF2B5EF4-FFF2-40B4-BE49-F238E27FC236}">
              <a16:creationId xmlns:a16="http://schemas.microsoft.com/office/drawing/2014/main" id="{1B496AA3-9655-49BB-AE01-9783F340C35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9" name="Text 3">
          <a:extLst>
            <a:ext uri="{FF2B5EF4-FFF2-40B4-BE49-F238E27FC236}">
              <a16:creationId xmlns:a16="http://schemas.microsoft.com/office/drawing/2014/main" id="{CEE6C571-C6BE-438F-88D2-EA3C486C23D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0" name="Text 3">
          <a:extLst>
            <a:ext uri="{FF2B5EF4-FFF2-40B4-BE49-F238E27FC236}">
              <a16:creationId xmlns:a16="http://schemas.microsoft.com/office/drawing/2014/main" id="{BD23B390-FAF9-4734-8CAC-01324210789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1" name="Text 3">
          <a:extLst>
            <a:ext uri="{FF2B5EF4-FFF2-40B4-BE49-F238E27FC236}">
              <a16:creationId xmlns:a16="http://schemas.microsoft.com/office/drawing/2014/main" id="{42061531-15D8-4E04-8CF7-9D0224D17F6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2" name="Text 3">
          <a:extLst>
            <a:ext uri="{FF2B5EF4-FFF2-40B4-BE49-F238E27FC236}">
              <a16:creationId xmlns:a16="http://schemas.microsoft.com/office/drawing/2014/main" id="{D35A17E1-58F7-4F92-8357-8CE02C77B19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3" name="Text 3">
          <a:extLst>
            <a:ext uri="{FF2B5EF4-FFF2-40B4-BE49-F238E27FC236}">
              <a16:creationId xmlns:a16="http://schemas.microsoft.com/office/drawing/2014/main" id="{D52B7BD4-C998-4182-9EB6-542BF0DE662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4" name="Text 3">
          <a:extLst>
            <a:ext uri="{FF2B5EF4-FFF2-40B4-BE49-F238E27FC236}">
              <a16:creationId xmlns:a16="http://schemas.microsoft.com/office/drawing/2014/main" id="{326411C9-7EEC-490E-A1BC-D5054D2F576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5" name="Text 3">
          <a:extLst>
            <a:ext uri="{FF2B5EF4-FFF2-40B4-BE49-F238E27FC236}">
              <a16:creationId xmlns:a16="http://schemas.microsoft.com/office/drawing/2014/main" id="{729F3A56-E95A-4765-828C-1F06AC71CB3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6" name="Text 3">
          <a:extLst>
            <a:ext uri="{FF2B5EF4-FFF2-40B4-BE49-F238E27FC236}">
              <a16:creationId xmlns:a16="http://schemas.microsoft.com/office/drawing/2014/main" id="{0A408165-4413-4D2A-B3A3-645032F1DAA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7" name="Text 3">
          <a:extLst>
            <a:ext uri="{FF2B5EF4-FFF2-40B4-BE49-F238E27FC236}">
              <a16:creationId xmlns:a16="http://schemas.microsoft.com/office/drawing/2014/main" id="{ED391455-1D74-4B13-9DEB-3BED10B7965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8" name="Text 3">
          <a:extLst>
            <a:ext uri="{FF2B5EF4-FFF2-40B4-BE49-F238E27FC236}">
              <a16:creationId xmlns:a16="http://schemas.microsoft.com/office/drawing/2014/main" id="{99064A8F-24DB-4553-8468-6CD51281D50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9" name="Text 3">
          <a:extLst>
            <a:ext uri="{FF2B5EF4-FFF2-40B4-BE49-F238E27FC236}">
              <a16:creationId xmlns:a16="http://schemas.microsoft.com/office/drawing/2014/main" id="{EE519259-3D49-4150-A82C-F75137F709F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0" name="Text 3">
          <a:extLst>
            <a:ext uri="{FF2B5EF4-FFF2-40B4-BE49-F238E27FC236}">
              <a16:creationId xmlns:a16="http://schemas.microsoft.com/office/drawing/2014/main" id="{80A25903-12BB-47FB-A5D2-330EF37061B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1" name="Text 3">
          <a:extLst>
            <a:ext uri="{FF2B5EF4-FFF2-40B4-BE49-F238E27FC236}">
              <a16:creationId xmlns:a16="http://schemas.microsoft.com/office/drawing/2014/main" id="{3EE4540D-D6D3-4DFF-A84A-DDDD7CFE8FC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2" name="Text 3">
          <a:extLst>
            <a:ext uri="{FF2B5EF4-FFF2-40B4-BE49-F238E27FC236}">
              <a16:creationId xmlns:a16="http://schemas.microsoft.com/office/drawing/2014/main" id="{24935A4C-1A1C-42B3-815C-A8BCABB94AA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3" name="Text 3">
          <a:extLst>
            <a:ext uri="{FF2B5EF4-FFF2-40B4-BE49-F238E27FC236}">
              <a16:creationId xmlns:a16="http://schemas.microsoft.com/office/drawing/2014/main" id="{181A86FE-C6E5-44CA-9183-52507EAF208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4" name="Text 3">
          <a:extLst>
            <a:ext uri="{FF2B5EF4-FFF2-40B4-BE49-F238E27FC236}">
              <a16:creationId xmlns:a16="http://schemas.microsoft.com/office/drawing/2014/main" id="{F132BA14-FCDD-4912-9F52-949BC8969D7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5" name="Text 3">
          <a:extLst>
            <a:ext uri="{FF2B5EF4-FFF2-40B4-BE49-F238E27FC236}">
              <a16:creationId xmlns:a16="http://schemas.microsoft.com/office/drawing/2014/main" id="{F29EA444-D36F-40D1-888B-EEE95526429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6" name="Text 3">
          <a:extLst>
            <a:ext uri="{FF2B5EF4-FFF2-40B4-BE49-F238E27FC236}">
              <a16:creationId xmlns:a16="http://schemas.microsoft.com/office/drawing/2014/main" id="{BE9CAE3F-F433-40DC-9D35-7CAFFF48218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7" name="Text 3">
          <a:extLst>
            <a:ext uri="{FF2B5EF4-FFF2-40B4-BE49-F238E27FC236}">
              <a16:creationId xmlns:a16="http://schemas.microsoft.com/office/drawing/2014/main" id="{6D130B0C-385E-4423-876F-C7F59ABE0E4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8" name="Text 3">
          <a:extLst>
            <a:ext uri="{FF2B5EF4-FFF2-40B4-BE49-F238E27FC236}">
              <a16:creationId xmlns:a16="http://schemas.microsoft.com/office/drawing/2014/main" id="{B845AC07-3430-4CA6-906F-70043F6C348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9" name="Text 3">
          <a:extLst>
            <a:ext uri="{FF2B5EF4-FFF2-40B4-BE49-F238E27FC236}">
              <a16:creationId xmlns:a16="http://schemas.microsoft.com/office/drawing/2014/main" id="{9D6AB851-F1A1-42E9-884A-D4BFC2DC798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0" name="Text 3">
          <a:extLst>
            <a:ext uri="{FF2B5EF4-FFF2-40B4-BE49-F238E27FC236}">
              <a16:creationId xmlns:a16="http://schemas.microsoft.com/office/drawing/2014/main" id="{62DAA5C0-4668-45F5-817B-B343CA5FB46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1" name="Text 3">
          <a:extLst>
            <a:ext uri="{FF2B5EF4-FFF2-40B4-BE49-F238E27FC236}">
              <a16:creationId xmlns:a16="http://schemas.microsoft.com/office/drawing/2014/main" id="{75E7DFCB-02C7-4DAE-9CF9-A305DCEEA23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2" name="Text 3">
          <a:extLst>
            <a:ext uri="{FF2B5EF4-FFF2-40B4-BE49-F238E27FC236}">
              <a16:creationId xmlns:a16="http://schemas.microsoft.com/office/drawing/2014/main" id="{1E324864-B431-4C27-B6E5-2568ADBF574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3" name="Text 3">
          <a:extLst>
            <a:ext uri="{FF2B5EF4-FFF2-40B4-BE49-F238E27FC236}">
              <a16:creationId xmlns:a16="http://schemas.microsoft.com/office/drawing/2014/main" id="{CD2FBE19-464B-4671-B6D5-D7510D592CC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4" name="Text 3">
          <a:extLst>
            <a:ext uri="{FF2B5EF4-FFF2-40B4-BE49-F238E27FC236}">
              <a16:creationId xmlns:a16="http://schemas.microsoft.com/office/drawing/2014/main" id="{010C8BDB-F498-41A1-8508-2A8A3D4FB29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5" name="Text 3">
          <a:extLst>
            <a:ext uri="{FF2B5EF4-FFF2-40B4-BE49-F238E27FC236}">
              <a16:creationId xmlns:a16="http://schemas.microsoft.com/office/drawing/2014/main" id="{AE703934-4C8C-4935-A55C-B5A5FE3F6CE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6" name="Text 3">
          <a:extLst>
            <a:ext uri="{FF2B5EF4-FFF2-40B4-BE49-F238E27FC236}">
              <a16:creationId xmlns:a16="http://schemas.microsoft.com/office/drawing/2014/main" id="{6C3CD246-C529-4675-B538-D7C6F0CF6C5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7" name="Text 3">
          <a:extLst>
            <a:ext uri="{FF2B5EF4-FFF2-40B4-BE49-F238E27FC236}">
              <a16:creationId xmlns:a16="http://schemas.microsoft.com/office/drawing/2014/main" id="{0552E97B-3897-4FF0-A2A3-C56E21C60E9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8" name="Text 3">
          <a:extLst>
            <a:ext uri="{FF2B5EF4-FFF2-40B4-BE49-F238E27FC236}">
              <a16:creationId xmlns:a16="http://schemas.microsoft.com/office/drawing/2014/main" id="{2415FA70-9B81-477C-8F55-4ADB01E4AAF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9" name="Text 3">
          <a:extLst>
            <a:ext uri="{FF2B5EF4-FFF2-40B4-BE49-F238E27FC236}">
              <a16:creationId xmlns:a16="http://schemas.microsoft.com/office/drawing/2014/main" id="{2450FB16-17C8-4877-9599-62B82C5D69E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0" name="Text 3">
          <a:extLst>
            <a:ext uri="{FF2B5EF4-FFF2-40B4-BE49-F238E27FC236}">
              <a16:creationId xmlns:a16="http://schemas.microsoft.com/office/drawing/2014/main" id="{8C6B5234-B134-491B-BCFA-2A1FD3C69AF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1" name="Text 3">
          <a:extLst>
            <a:ext uri="{FF2B5EF4-FFF2-40B4-BE49-F238E27FC236}">
              <a16:creationId xmlns:a16="http://schemas.microsoft.com/office/drawing/2014/main" id="{1BFD8BE2-F63B-40EB-A675-533D97CAFB5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2" name="Text 3">
          <a:extLst>
            <a:ext uri="{FF2B5EF4-FFF2-40B4-BE49-F238E27FC236}">
              <a16:creationId xmlns:a16="http://schemas.microsoft.com/office/drawing/2014/main" id="{D6B01FBE-5D1F-4926-8C0F-566B3D178FB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3" name="Text 3">
          <a:extLst>
            <a:ext uri="{FF2B5EF4-FFF2-40B4-BE49-F238E27FC236}">
              <a16:creationId xmlns:a16="http://schemas.microsoft.com/office/drawing/2014/main" id="{14342082-E740-4AA6-A6E1-F6707371E2B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4" name="Text 3">
          <a:extLst>
            <a:ext uri="{FF2B5EF4-FFF2-40B4-BE49-F238E27FC236}">
              <a16:creationId xmlns:a16="http://schemas.microsoft.com/office/drawing/2014/main" id="{B7F4A780-562E-424D-B5F8-A3104390659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5" name="Text 3">
          <a:extLst>
            <a:ext uri="{FF2B5EF4-FFF2-40B4-BE49-F238E27FC236}">
              <a16:creationId xmlns:a16="http://schemas.microsoft.com/office/drawing/2014/main" id="{E34D8C9B-53DA-4E99-8703-E641B73FDA7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6" name="Text 3">
          <a:extLst>
            <a:ext uri="{FF2B5EF4-FFF2-40B4-BE49-F238E27FC236}">
              <a16:creationId xmlns:a16="http://schemas.microsoft.com/office/drawing/2014/main" id="{0B162BCA-A2B2-4CD7-A743-B5E04C5563B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7" name="Text 3">
          <a:extLst>
            <a:ext uri="{FF2B5EF4-FFF2-40B4-BE49-F238E27FC236}">
              <a16:creationId xmlns:a16="http://schemas.microsoft.com/office/drawing/2014/main" id="{59BE3D92-3F0C-4634-8EF6-C9FE6D83411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8" name="Text 3">
          <a:extLst>
            <a:ext uri="{FF2B5EF4-FFF2-40B4-BE49-F238E27FC236}">
              <a16:creationId xmlns:a16="http://schemas.microsoft.com/office/drawing/2014/main" id="{3D32B3B8-8C99-470F-AD4E-BF2F5623C62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9" name="Text 3">
          <a:extLst>
            <a:ext uri="{FF2B5EF4-FFF2-40B4-BE49-F238E27FC236}">
              <a16:creationId xmlns:a16="http://schemas.microsoft.com/office/drawing/2014/main" id="{74BF5B22-4BA7-4B06-BF7E-1C7E71521B1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0" name="Text 3">
          <a:extLst>
            <a:ext uri="{FF2B5EF4-FFF2-40B4-BE49-F238E27FC236}">
              <a16:creationId xmlns:a16="http://schemas.microsoft.com/office/drawing/2014/main" id="{67F3CF36-CA4E-4F8B-AC70-3C1167E944D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1" name="Text 3">
          <a:extLst>
            <a:ext uri="{FF2B5EF4-FFF2-40B4-BE49-F238E27FC236}">
              <a16:creationId xmlns:a16="http://schemas.microsoft.com/office/drawing/2014/main" id="{837265AF-39C1-44E7-9475-B61733E0A21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2" name="Text 3">
          <a:extLst>
            <a:ext uri="{FF2B5EF4-FFF2-40B4-BE49-F238E27FC236}">
              <a16:creationId xmlns:a16="http://schemas.microsoft.com/office/drawing/2014/main" id="{520E4183-7F47-4FAC-99AA-095CE5CE97B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3" name="Text 3">
          <a:extLst>
            <a:ext uri="{FF2B5EF4-FFF2-40B4-BE49-F238E27FC236}">
              <a16:creationId xmlns:a16="http://schemas.microsoft.com/office/drawing/2014/main" id="{DFC3761A-AE60-4988-97C1-2EDDE4DDA81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4" name="Text 3">
          <a:extLst>
            <a:ext uri="{FF2B5EF4-FFF2-40B4-BE49-F238E27FC236}">
              <a16:creationId xmlns:a16="http://schemas.microsoft.com/office/drawing/2014/main" id="{55731893-6226-40DE-8A19-C54F91BCACC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5" name="Text 3">
          <a:extLst>
            <a:ext uri="{FF2B5EF4-FFF2-40B4-BE49-F238E27FC236}">
              <a16:creationId xmlns:a16="http://schemas.microsoft.com/office/drawing/2014/main" id="{2000AA19-E654-4B00-89CF-C16EA6B3625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6" name="Text 3">
          <a:extLst>
            <a:ext uri="{FF2B5EF4-FFF2-40B4-BE49-F238E27FC236}">
              <a16:creationId xmlns:a16="http://schemas.microsoft.com/office/drawing/2014/main" id="{42968826-F408-475C-9010-5832C23F2B8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7" name="Text 3">
          <a:extLst>
            <a:ext uri="{FF2B5EF4-FFF2-40B4-BE49-F238E27FC236}">
              <a16:creationId xmlns:a16="http://schemas.microsoft.com/office/drawing/2014/main" id="{99428A93-979C-4411-8461-B7EB18DDE0A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8" name="Text 3">
          <a:extLst>
            <a:ext uri="{FF2B5EF4-FFF2-40B4-BE49-F238E27FC236}">
              <a16:creationId xmlns:a16="http://schemas.microsoft.com/office/drawing/2014/main" id="{BD11FF8D-C24F-4E94-A6E0-02D5145CD89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9" name="Text 3">
          <a:extLst>
            <a:ext uri="{FF2B5EF4-FFF2-40B4-BE49-F238E27FC236}">
              <a16:creationId xmlns:a16="http://schemas.microsoft.com/office/drawing/2014/main" id="{5CA4346F-E006-47E5-854B-7C0563DB66D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0" name="Text 3">
          <a:extLst>
            <a:ext uri="{FF2B5EF4-FFF2-40B4-BE49-F238E27FC236}">
              <a16:creationId xmlns:a16="http://schemas.microsoft.com/office/drawing/2014/main" id="{7C8FDB8A-60A4-4B9C-9190-62EFB07ABA1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1" name="Text 3">
          <a:extLst>
            <a:ext uri="{FF2B5EF4-FFF2-40B4-BE49-F238E27FC236}">
              <a16:creationId xmlns:a16="http://schemas.microsoft.com/office/drawing/2014/main" id="{718AFB2D-616C-4A07-9BA4-8ED521F2880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2" name="Text 3">
          <a:extLst>
            <a:ext uri="{FF2B5EF4-FFF2-40B4-BE49-F238E27FC236}">
              <a16:creationId xmlns:a16="http://schemas.microsoft.com/office/drawing/2014/main" id="{21EA1F9D-2EE0-46E1-86F5-AD43EF87042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3" name="Text 3">
          <a:extLst>
            <a:ext uri="{FF2B5EF4-FFF2-40B4-BE49-F238E27FC236}">
              <a16:creationId xmlns:a16="http://schemas.microsoft.com/office/drawing/2014/main" id="{8DBF06D3-B7AB-4297-B003-48F83B0564E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4" name="Text 3">
          <a:extLst>
            <a:ext uri="{FF2B5EF4-FFF2-40B4-BE49-F238E27FC236}">
              <a16:creationId xmlns:a16="http://schemas.microsoft.com/office/drawing/2014/main" id="{9D9C76A5-FA6E-496C-A3EB-21B22D5B56C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5" name="Text 3">
          <a:extLst>
            <a:ext uri="{FF2B5EF4-FFF2-40B4-BE49-F238E27FC236}">
              <a16:creationId xmlns:a16="http://schemas.microsoft.com/office/drawing/2014/main" id="{3601324F-DF3B-4855-8F9C-39DF5892582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6" name="Text 3">
          <a:extLst>
            <a:ext uri="{FF2B5EF4-FFF2-40B4-BE49-F238E27FC236}">
              <a16:creationId xmlns:a16="http://schemas.microsoft.com/office/drawing/2014/main" id="{363B0DED-C34C-48C5-80B3-E6BB404A820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7" name="Text 3">
          <a:extLst>
            <a:ext uri="{FF2B5EF4-FFF2-40B4-BE49-F238E27FC236}">
              <a16:creationId xmlns:a16="http://schemas.microsoft.com/office/drawing/2014/main" id="{50CD251B-5779-4885-95A1-CAE0392BC6F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8" name="Text 3">
          <a:extLst>
            <a:ext uri="{FF2B5EF4-FFF2-40B4-BE49-F238E27FC236}">
              <a16:creationId xmlns:a16="http://schemas.microsoft.com/office/drawing/2014/main" id="{383260BE-66D9-4B4E-8FE2-AB527A3AF22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9" name="Text 3">
          <a:extLst>
            <a:ext uri="{FF2B5EF4-FFF2-40B4-BE49-F238E27FC236}">
              <a16:creationId xmlns:a16="http://schemas.microsoft.com/office/drawing/2014/main" id="{75FB0F2A-3249-4548-8AE1-5A4BF28E33A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0" name="Text 3">
          <a:extLst>
            <a:ext uri="{FF2B5EF4-FFF2-40B4-BE49-F238E27FC236}">
              <a16:creationId xmlns:a16="http://schemas.microsoft.com/office/drawing/2014/main" id="{FFC0E77F-E109-4647-86E6-4F2AAB4E8AE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1" name="Text 3">
          <a:extLst>
            <a:ext uri="{FF2B5EF4-FFF2-40B4-BE49-F238E27FC236}">
              <a16:creationId xmlns:a16="http://schemas.microsoft.com/office/drawing/2014/main" id="{A759ACCC-2FDA-4893-97A6-E98756B145E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2" name="Text 3">
          <a:extLst>
            <a:ext uri="{FF2B5EF4-FFF2-40B4-BE49-F238E27FC236}">
              <a16:creationId xmlns:a16="http://schemas.microsoft.com/office/drawing/2014/main" id="{C8DAACD7-7212-43BB-8252-34FF14A1D1B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3" name="Text 3">
          <a:extLst>
            <a:ext uri="{FF2B5EF4-FFF2-40B4-BE49-F238E27FC236}">
              <a16:creationId xmlns:a16="http://schemas.microsoft.com/office/drawing/2014/main" id="{F22C06BD-FDA7-411D-86CB-067304BE329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4" name="Text 3">
          <a:extLst>
            <a:ext uri="{FF2B5EF4-FFF2-40B4-BE49-F238E27FC236}">
              <a16:creationId xmlns:a16="http://schemas.microsoft.com/office/drawing/2014/main" id="{118DAA9A-CB84-4233-8C26-55A60BF4EB8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5" name="Text 3">
          <a:extLst>
            <a:ext uri="{FF2B5EF4-FFF2-40B4-BE49-F238E27FC236}">
              <a16:creationId xmlns:a16="http://schemas.microsoft.com/office/drawing/2014/main" id="{CD0B3699-E188-4331-9FA1-60AAE5DF41D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6" name="Text 3">
          <a:extLst>
            <a:ext uri="{FF2B5EF4-FFF2-40B4-BE49-F238E27FC236}">
              <a16:creationId xmlns:a16="http://schemas.microsoft.com/office/drawing/2014/main" id="{4D7FFC19-0D5E-4FA6-A521-29B8948C8A4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7" name="Text 3">
          <a:extLst>
            <a:ext uri="{FF2B5EF4-FFF2-40B4-BE49-F238E27FC236}">
              <a16:creationId xmlns:a16="http://schemas.microsoft.com/office/drawing/2014/main" id="{4A518794-628A-4F26-B0F5-BF1C9B21C1A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8" name="Text 3">
          <a:extLst>
            <a:ext uri="{FF2B5EF4-FFF2-40B4-BE49-F238E27FC236}">
              <a16:creationId xmlns:a16="http://schemas.microsoft.com/office/drawing/2014/main" id="{4F937C6D-8035-4C97-8903-0CB63117DB9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9" name="Text 3">
          <a:extLst>
            <a:ext uri="{FF2B5EF4-FFF2-40B4-BE49-F238E27FC236}">
              <a16:creationId xmlns:a16="http://schemas.microsoft.com/office/drawing/2014/main" id="{2A6ED446-24FF-4D71-83DF-3E01FCDD625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0" name="Text 3">
          <a:extLst>
            <a:ext uri="{FF2B5EF4-FFF2-40B4-BE49-F238E27FC236}">
              <a16:creationId xmlns:a16="http://schemas.microsoft.com/office/drawing/2014/main" id="{692D4761-97F5-4366-A493-5DC35E84781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1" name="Text 3">
          <a:extLst>
            <a:ext uri="{FF2B5EF4-FFF2-40B4-BE49-F238E27FC236}">
              <a16:creationId xmlns:a16="http://schemas.microsoft.com/office/drawing/2014/main" id="{29E354A6-8086-4095-81A5-1C800EA9BEE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2" name="Text 3">
          <a:extLst>
            <a:ext uri="{FF2B5EF4-FFF2-40B4-BE49-F238E27FC236}">
              <a16:creationId xmlns:a16="http://schemas.microsoft.com/office/drawing/2014/main" id="{8EA4D89C-0DFB-4417-A780-D6D5B3CB73F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3" name="Text 3">
          <a:extLst>
            <a:ext uri="{FF2B5EF4-FFF2-40B4-BE49-F238E27FC236}">
              <a16:creationId xmlns:a16="http://schemas.microsoft.com/office/drawing/2014/main" id="{D5544D00-894D-4469-B6C1-B41A9896F1E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4" name="Text 3">
          <a:extLst>
            <a:ext uri="{FF2B5EF4-FFF2-40B4-BE49-F238E27FC236}">
              <a16:creationId xmlns:a16="http://schemas.microsoft.com/office/drawing/2014/main" id="{6E8C6BF1-0BD8-4B9B-9AC9-2AA39CAE99C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5" name="Text 3">
          <a:extLst>
            <a:ext uri="{FF2B5EF4-FFF2-40B4-BE49-F238E27FC236}">
              <a16:creationId xmlns:a16="http://schemas.microsoft.com/office/drawing/2014/main" id="{C27017A9-CE7C-41D0-8612-E40C8291FE1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6" name="Text 3">
          <a:extLst>
            <a:ext uri="{FF2B5EF4-FFF2-40B4-BE49-F238E27FC236}">
              <a16:creationId xmlns:a16="http://schemas.microsoft.com/office/drawing/2014/main" id="{372C4B53-89F5-49B7-A673-9F4E7C3165C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7" name="Text 3">
          <a:extLst>
            <a:ext uri="{FF2B5EF4-FFF2-40B4-BE49-F238E27FC236}">
              <a16:creationId xmlns:a16="http://schemas.microsoft.com/office/drawing/2014/main" id="{82A76CF2-796A-4738-9740-EA241836E8C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8" name="Text 3">
          <a:extLst>
            <a:ext uri="{FF2B5EF4-FFF2-40B4-BE49-F238E27FC236}">
              <a16:creationId xmlns:a16="http://schemas.microsoft.com/office/drawing/2014/main" id="{8989EEA6-EC4D-4B29-8657-2142BA9A1D3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9" name="Text 3">
          <a:extLst>
            <a:ext uri="{FF2B5EF4-FFF2-40B4-BE49-F238E27FC236}">
              <a16:creationId xmlns:a16="http://schemas.microsoft.com/office/drawing/2014/main" id="{B136E226-2C61-4FA1-A73F-00263EC5032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0" name="Text 3">
          <a:extLst>
            <a:ext uri="{FF2B5EF4-FFF2-40B4-BE49-F238E27FC236}">
              <a16:creationId xmlns:a16="http://schemas.microsoft.com/office/drawing/2014/main" id="{06632F32-5B73-43E6-A267-7EB090E9E39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1" name="Text 3">
          <a:extLst>
            <a:ext uri="{FF2B5EF4-FFF2-40B4-BE49-F238E27FC236}">
              <a16:creationId xmlns:a16="http://schemas.microsoft.com/office/drawing/2014/main" id="{8CC55428-E37E-47C5-94D9-878B0ECAA07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2" name="Text 3">
          <a:extLst>
            <a:ext uri="{FF2B5EF4-FFF2-40B4-BE49-F238E27FC236}">
              <a16:creationId xmlns:a16="http://schemas.microsoft.com/office/drawing/2014/main" id="{CEA5895F-332E-4C0A-B6ED-66BB735E8CB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3" name="Text 3">
          <a:extLst>
            <a:ext uri="{FF2B5EF4-FFF2-40B4-BE49-F238E27FC236}">
              <a16:creationId xmlns:a16="http://schemas.microsoft.com/office/drawing/2014/main" id="{8A3C1024-27EA-4159-9C19-8EDA12D6731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4" name="Text 3">
          <a:extLst>
            <a:ext uri="{FF2B5EF4-FFF2-40B4-BE49-F238E27FC236}">
              <a16:creationId xmlns:a16="http://schemas.microsoft.com/office/drawing/2014/main" id="{CA6B2D57-7E38-4289-B63E-5D248DC28DD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5" name="Text 3">
          <a:extLst>
            <a:ext uri="{FF2B5EF4-FFF2-40B4-BE49-F238E27FC236}">
              <a16:creationId xmlns:a16="http://schemas.microsoft.com/office/drawing/2014/main" id="{5A10A6C7-DBE2-4C95-8C35-E0A94C7211C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6" name="Text 3">
          <a:extLst>
            <a:ext uri="{FF2B5EF4-FFF2-40B4-BE49-F238E27FC236}">
              <a16:creationId xmlns:a16="http://schemas.microsoft.com/office/drawing/2014/main" id="{B526ACAE-5970-4DDA-8647-83B2AB10025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7" name="Text 3">
          <a:extLst>
            <a:ext uri="{FF2B5EF4-FFF2-40B4-BE49-F238E27FC236}">
              <a16:creationId xmlns:a16="http://schemas.microsoft.com/office/drawing/2014/main" id="{4BDC3FC3-83C6-4024-9FD1-B82176BC3C6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8" name="Text 3">
          <a:extLst>
            <a:ext uri="{FF2B5EF4-FFF2-40B4-BE49-F238E27FC236}">
              <a16:creationId xmlns:a16="http://schemas.microsoft.com/office/drawing/2014/main" id="{1151C114-6ADE-4909-AE44-2C33E32E8EF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9" name="Text 3">
          <a:extLst>
            <a:ext uri="{FF2B5EF4-FFF2-40B4-BE49-F238E27FC236}">
              <a16:creationId xmlns:a16="http://schemas.microsoft.com/office/drawing/2014/main" id="{32370243-7B49-47D0-97E4-D1B53AD45D9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0" name="Text 3">
          <a:extLst>
            <a:ext uri="{FF2B5EF4-FFF2-40B4-BE49-F238E27FC236}">
              <a16:creationId xmlns:a16="http://schemas.microsoft.com/office/drawing/2014/main" id="{F7B68A33-D02D-40F5-BA9B-0949F0631C3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1" name="Text 3">
          <a:extLst>
            <a:ext uri="{FF2B5EF4-FFF2-40B4-BE49-F238E27FC236}">
              <a16:creationId xmlns:a16="http://schemas.microsoft.com/office/drawing/2014/main" id="{93D02998-6F30-4AC3-9195-14DA2EB14D0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2" name="Text 3">
          <a:extLst>
            <a:ext uri="{FF2B5EF4-FFF2-40B4-BE49-F238E27FC236}">
              <a16:creationId xmlns:a16="http://schemas.microsoft.com/office/drawing/2014/main" id="{EFCD31E2-E5B7-4D24-B118-0949460FD8E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3" name="Text 3">
          <a:extLst>
            <a:ext uri="{FF2B5EF4-FFF2-40B4-BE49-F238E27FC236}">
              <a16:creationId xmlns:a16="http://schemas.microsoft.com/office/drawing/2014/main" id="{164D4D0D-E27B-49DA-BDAC-7C7DB9302B5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4" name="Text 3">
          <a:extLst>
            <a:ext uri="{FF2B5EF4-FFF2-40B4-BE49-F238E27FC236}">
              <a16:creationId xmlns:a16="http://schemas.microsoft.com/office/drawing/2014/main" id="{F9BC02C1-3BC6-4B95-B411-27D80251896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5" name="Text 3">
          <a:extLst>
            <a:ext uri="{FF2B5EF4-FFF2-40B4-BE49-F238E27FC236}">
              <a16:creationId xmlns:a16="http://schemas.microsoft.com/office/drawing/2014/main" id="{A3B82CE3-DF6F-479F-8AA7-851373B354C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6" name="Text 3">
          <a:extLst>
            <a:ext uri="{FF2B5EF4-FFF2-40B4-BE49-F238E27FC236}">
              <a16:creationId xmlns:a16="http://schemas.microsoft.com/office/drawing/2014/main" id="{9A8622EC-2C80-477F-ABD4-BE4D064A74F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7" name="Text 3">
          <a:extLst>
            <a:ext uri="{FF2B5EF4-FFF2-40B4-BE49-F238E27FC236}">
              <a16:creationId xmlns:a16="http://schemas.microsoft.com/office/drawing/2014/main" id="{F1B71B95-FDE0-4A85-8626-231518B39E5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8" name="Text 3">
          <a:extLst>
            <a:ext uri="{FF2B5EF4-FFF2-40B4-BE49-F238E27FC236}">
              <a16:creationId xmlns:a16="http://schemas.microsoft.com/office/drawing/2014/main" id="{D9B63F09-30DB-421F-B189-21729A2D6BB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9" name="Text 3">
          <a:extLst>
            <a:ext uri="{FF2B5EF4-FFF2-40B4-BE49-F238E27FC236}">
              <a16:creationId xmlns:a16="http://schemas.microsoft.com/office/drawing/2014/main" id="{2C7AA6DD-1CFD-4D1E-82B1-7E48228F68B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60" name="Text 3">
          <a:extLst>
            <a:ext uri="{FF2B5EF4-FFF2-40B4-BE49-F238E27FC236}">
              <a16:creationId xmlns:a16="http://schemas.microsoft.com/office/drawing/2014/main" id="{16C79310-1C5A-4275-AE27-F16CD4489BF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61" name="Text 3">
          <a:extLst>
            <a:ext uri="{FF2B5EF4-FFF2-40B4-BE49-F238E27FC236}">
              <a16:creationId xmlns:a16="http://schemas.microsoft.com/office/drawing/2014/main" id="{378783B4-6C83-4ADD-960E-2408004420E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62" name="Text 3">
          <a:extLst>
            <a:ext uri="{FF2B5EF4-FFF2-40B4-BE49-F238E27FC236}">
              <a16:creationId xmlns:a16="http://schemas.microsoft.com/office/drawing/2014/main" id="{12DD496D-92D8-4A49-BD4D-38E089C5A9E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63" name="Text 3">
          <a:extLst>
            <a:ext uri="{FF2B5EF4-FFF2-40B4-BE49-F238E27FC236}">
              <a16:creationId xmlns:a16="http://schemas.microsoft.com/office/drawing/2014/main" id="{1F60FB91-7104-4A0F-8111-6FA74D1695D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64" name="Text 3">
          <a:extLst>
            <a:ext uri="{FF2B5EF4-FFF2-40B4-BE49-F238E27FC236}">
              <a16:creationId xmlns:a16="http://schemas.microsoft.com/office/drawing/2014/main" id="{9ABA9BC1-A0D0-47C3-8AE0-AE5FCFA9961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65" name="Text 3">
          <a:extLst>
            <a:ext uri="{FF2B5EF4-FFF2-40B4-BE49-F238E27FC236}">
              <a16:creationId xmlns:a16="http://schemas.microsoft.com/office/drawing/2014/main" id="{8C591482-09B2-4861-B971-CF38CA7FF54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66" name="Text 3">
          <a:extLst>
            <a:ext uri="{FF2B5EF4-FFF2-40B4-BE49-F238E27FC236}">
              <a16:creationId xmlns:a16="http://schemas.microsoft.com/office/drawing/2014/main" id="{85C78B32-825C-4194-95B0-7E540D76640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67" name="Text 3">
          <a:extLst>
            <a:ext uri="{FF2B5EF4-FFF2-40B4-BE49-F238E27FC236}">
              <a16:creationId xmlns:a16="http://schemas.microsoft.com/office/drawing/2014/main" id="{4922A9DF-3FCF-4378-9273-139BA69FB43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68" name="Text 3">
          <a:extLst>
            <a:ext uri="{FF2B5EF4-FFF2-40B4-BE49-F238E27FC236}">
              <a16:creationId xmlns:a16="http://schemas.microsoft.com/office/drawing/2014/main" id="{F26A76D4-D400-402B-B1D0-416F232C899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69" name="Text 3">
          <a:extLst>
            <a:ext uri="{FF2B5EF4-FFF2-40B4-BE49-F238E27FC236}">
              <a16:creationId xmlns:a16="http://schemas.microsoft.com/office/drawing/2014/main" id="{C1E9ECD1-11B2-4542-8665-DCFE6E9EDB2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70" name="Text 3">
          <a:extLst>
            <a:ext uri="{FF2B5EF4-FFF2-40B4-BE49-F238E27FC236}">
              <a16:creationId xmlns:a16="http://schemas.microsoft.com/office/drawing/2014/main" id="{13E26FE3-6E8E-4227-B9BD-D3CE747CF7C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71" name="Text 3">
          <a:extLst>
            <a:ext uri="{FF2B5EF4-FFF2-40B4-BE49-F238E27FC236}">
              <a16:creationId xmlns:a16="http://schemas.microsoft.com/office/drawing/2014/main" id="{DDC638C6-B2F0-414C-AFB8-70B7FB3AEC9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72" name="Text 3">
          <a:extLst>
            <a:ext uri="{FF2B5EF4-FFF2-40B4-BE49-F238E27FC236}">
              <a16:creationId xmlns:a16="http://schemas.microsoft.com/office/drawing/2014/main" id="{483A56E0-F14C-40DD-AF4D-44D7DEDF591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73" name="Text 3">
          <a:extLst>
            <a:ext uri="{FF2B5EF4-FFF2-40B4-BE49-F238E27FC236}">
              <a16:creationId xmlns:a16="http://schemas.microsoft.com/office/drawing/2014/main" id="{8C0AF097-41D3-46CB-9FD2-44CEC273B8F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74" name="Text 3">
          <a:extLst>
            <a:ext uri="{FF2B5EF4-FFF2-40B4-BE49-F238E27FC236}">
              <a16:creationId xmlns:a16="http://schemas.microsoft.com/office/drawing/2014/main" id="{98F3B1DD-81DE-4A84-848B-D30F7FBD0CC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75" name="Text 3">
          <a:extLst>
            <a:ext uri="{FF2B5EF4-FFF2-40B4-BE49-F238E27FC236}">
              <a16:creationId xmlns:a16="http://schemas.microsoft.com/office/drawing/2014/main" id="{7CEED69D-DEB7-4710-9F74-6C60444BEBA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76" name="Text 3">
          <a:extLst>
            <a:ext uri="{FF2B5EF4-FFF2-40B4-BE49-F238E27FC236}">
              <a16:creationId xmlns:a16="http://schemas.microsoft.com/office/drawing/2014/main" id="{722368C7-1E8D-4E65-A010-3DB10CD27EA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77" name="Text 3">
          <a:extLst>
            <a:ext uri="{FF2B5EF4-FFF2-40B4-BE49-F238E27FC236}">
              <a16:creationId xmlns:a16="http://schemas.microsoft.com/office/drawing/2014/main" id="{92B0FEB4-BA1E-4E60-B2BD-CFDC9DFBA85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78" name="Text 3">
          <a:extLst>
            <a:ext uri="{FF2B5EF4-FFF2-40B4-BE49-F238E27FC236}">
              <a16:creationId xmlns:a16="http://schemas.microsoft.com/office/drawing/2014/main" id="{F3A95E51-5062-42D2-9238-B462AC33632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79" name="Text 3">
          <a:extLst>
            <a:ext uri="{FF2B5EF4-FFF2-40B4-BE49-F238E27FC236}">
              <a16:creationId xmlns:a16="http://schemas.microsoft.com/office/drawing/2014/main" id="{536A2E5F-6AE2-4499-85A1-B29B029A2E3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80" name="Text 3">
          <a:extLst>
            <a:ext uri="{FF2B5EF4-FFF2-40B4-BE49-F238E27FC236}">
              <a16:creationId xmlns:a16="http://schemas.microsoft.com/office/drawing/2014/main" id="{2F3DA003-D4F6-4168-9CD0-2DC759A7C82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81" name="Text 3">
          <a:extLst>
            <a:ext uri="{FF2B5EF4-FFF2-40B4-BE49-F238E27FC236}">
              <a16:creationId xmlns:a16="http://schemas.microsoft.com/office/drawing/2014/main" id="{0BB3E4B3-B871-49E5-ACE3-566D38A7A88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82" name="Text 3">
          <a:extLst>
            <a:ext uri="{FF2B5EF4-FFF2-40B4-BE49-F238E27FC236}">
              <a16:creationId xmlns:a16="http://schemas.microsoft.com/office/drawing/2014/main" id="{6D4ED920-6C66-42C0-8079-339B8B098F4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83" name="Text 3">
          <a:extLst>
            <a:ext uri="{FF2B5EF4-FFF2-40B4-BE49-F238E27FC236}">
              <a16:creationId xmlns:a16="http://schemas.microsoft.com/office/drawing/2014/main" id="{3880E404-C445-4D4B-B856-44AF3838165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84" name="Text 3">
          <a:extLst>
            <a:ext uri="{FF2B5EF4-FFF2-40B4-BE49-F238E27FC236}">
              <a16:creationId xmlns:a16="http://schemas.microsoft.com/office/drawing/2014/main" id="{04C15FF9-1433-4CD3-94E6-42314C7FD0B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85" name="Text 3">
          <a:extLst>
            <a:ext uri="{FF2B5EF4-FFF2-40B4-BE49-F238E27FC236}">
              <a16:creationId xmlns:a16="http://schemas.microsoft.com/office/drawing/2014/main" id="{7DE85505-3F32-4EF5-B2E2-6E73716A50E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86" name="Text 3">
          <a:extLst>
            <a:ext uri="{FF2B5EF4-FFF2-40B4-BE49-F238E27FC236}">
              <a16:creationId xmlns:a16="http://schemas.microsoft.com/office/drawing/2014/main" id="{5E14469B-E4E7-4313-B3CC-C9340BA4447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87" name="Text 3">
          <a:extLst>
            <a:ext uri="{FF2B5EF4-FFF2-40B4-BE49-F238E27FC236}">
              <a16:creationId xmlns:a16="http://schemas.microsoft.com/office/drawing/2014/main" id="{246ADF5D-9FEB-4492-8046-5F92D95DC68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88" name="Text 3">
          <a:extLst>
            <a:ext uri="{FF2B5EF4-FFF2-40B4-BE49-F238E27FC236}">
              <a16:creationId xmlns:a16="http://schemas.microsoft.com/office/drawing/2014/main" id="{D6342D63-7CD4-4C6C-A1D8-6617A24105A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89" name="Text 3">
          <a:extLst>
            <a:ext uri="{FF2B5EF4-FFF2-40B4-BE49-F238E27FC236}">
              <a16:creationId xmlns:a16="http://schemas.microsoft.com/office/drawing/2014/main" id="{29441A95-7B77-47AC-8D88-7D8429BF042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90" name="Text 3">
          <a:extLst>
            <a:ext uri="{FF2B5EF4-FFF2-40B4-BE49-F238E27FC236}">
              <a16:creationId xmlns:a16="http://schemas.microsoft.com/office/drawing/2014/main" id="{E86B872F-E8EB-4549-9034-0BF958F1CE8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91" name="Text 3">
          <a:extLst>
            <a:ext uri="{FF2B5EF4-FFF2-40B4-BE49-F238E27FC236}">
              <a16:creationId xmlns:a16="http://schemas.microsoft.com/office/drawing/2014/main" id="{CF4EE283-F65F-402B-823C-858D6DED27B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92" name="Text 3">
          <a:extLst>
            <a:ext uri="{FF2B5EF4-FFF2-40B4-BE49-F238E27FC236}">
              <a16:creationId xmlns:a16="http://schemas.microsoft.com/office/drawing/2014/main" id="{E4FF5417-1590-4EB5-BFBF-605169C0C58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93" name="Text 3">
          <a:extLst>
            <a:ext uri="{FF2B5EF4-FFF2-40B4-BE49-F238E27FC236}">
              <a16:creationId xmlns:a16="http://schemas.microsoft.com/office/drawing/2014/main" id="{F8666329-0A0E-46A3-9067-1B2DFB7516F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94" name="Text 3">
          <a:extLst>
            <a:ext uri="{FF2B5EF4-FFF2-40B4-BE49-F238E27FC236}">
              <a16:creationId xmlns:a16="http://schemas.microsoft.com/office/drawing/2014/main" id="{65EB26C8-FC52-4E7C-B2AF-67453CBD3DB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95" name="Text 3">
          <a:extLst>
            <a:ext uri="{FF2B5EF4-FFF2-40B4-BE49-F238E27FC236}">
              <a16:creationId xmlns:a16="http://schemas.microsoft.com/office/drawing/2014/main" id="{33E72084-7CA6-4A3B-93BD-5387D79E578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96" name="Text 3">
          <a:extLst>
            <a:ext uri="{FF2B5EF4-FFF2-40B4-BE49-F238E27FC236}">
              <a16:creationId xmlns:a16="http://schemas.microsoft.com/office/drawing/2014/main" id="{1E967DE9-2F85-4F71-B614-01213AA7B59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97" name="Text 3">
          <a:extLst>
            <a:ext uri="{FF2B5EF4-FFF2-40B4-BE49-F238E27FC236}">
              <a16:creationId xmlns:a16="http://schemas.microsoft.com/office/drawing/2014/main" id="{603F344F-6803-48C7-8248-2E5E278A5F0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98" name="Text 3">
          <a:extLst>
            <a:ext uri="{FF2B5EF4-FFF2-40B4-BE49-F238E27FC236}">
              <a16:creationId xmlns:a16="http://schemas.microsoft.com/office/drawing/2014/main" id="{037CCD6E-56DD-47D6-A8DD-1761E94D1AF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99" name="Text 3">
          <a:extLst>
            <a:ext uri="{FF2B5EF4-FFF2-40B4-BE49-F238E27FC236}">
              <a16:creationId xmlns:a16="http://schemas.microsoft.com/office/drawing/2014/main" id="{3DA90E3A-9E3B-4566-9C4A-4CEE3EB7F2C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00" name="Text 3">
          <a:extLst>
            <a:ext uri="{FF2B5EF4-FFF2-40B4-BE49-F238E27FC236}">
              <a16:creationId xmlns:a16="http://schemas.microsoft.com/office/drawing/2014/main" id="{22FE1506-B2CC-4D4B-8214-6790EC59433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01" name="Text 3">
          <a:extLst>
            <a:ext uri="{FF2B5EF4-FFF2-40B4-BE49-F238E27FC236}">
              <a16:creationId xmlns:a16="http://schemas.microsoft.com/office/drawing/2014/main" id="{CCFB8894-8476-498D-A140-4574A505AC3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02" name="Text 3">
          <a:extLst>
            <a:ext uri="{FF2B5EF4-FFF2-40B4-BE49-F238E27FC236}">
              <a16:creationId xmlns:a16="http://schemas.microsoft.com/office/drawing/2014/main" id="{4BA3E02B-3CA4-4B99-8BBF-9784391494A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03" name="Text 3">
          <a:extLst>
            <a:ext uri="{FF2B5EF4-FFF2-40B4-BE49-F238E27FC236}">
              <a16:creationId xmlns:a16="http://schemas.microsoft.com/office/drawing/2014/main" id="{695FA765-A93B-4674-8063-B25D636A8D9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04" name="Text 3">
          <a:extLst>
            <a:ext uri="{FF2B5EF4-FFF2-40B4-BE49-F238E27FC236}">
              <a16:creationId xmlns:a16="http://schemas.microsoft.com/office/drawing/2014/main" id="{6ED5B223-1E22-46BB-A967-EB3223569E9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05" name="Text 3">
          <a:extLst>
            <a:ext uri="{FF2B5EF4-FFF2-40B4-BE49-F238E27FC236}">
              <a16:creationId xmlns:a16="http://schemas.microsoft.com/office/drawing/2014/main" id="{B8F22B3C-DBA0-4A9E-AAA2-80C2B9F58F5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06" name="Text 3">
          <a:extLst>
            <a:ext uri="{FF2B5EF4-FFF2-40B4-BE49-F238E27FC236}">
              <a16:creationId xmlns:a16="http://schemas.microsoft.com/office/drawing/2014/main" id="{83AA703B-2F4D-4E57-B6B8-9EE5F4F9A0A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07" name="Text 3">
          <a:extLst>
            <a:ext uri="{FF2B5EF4-FFF2-40B4-BE49-F238E27FC236}">
              <a16:creationId xmlns:a16="http://schemas.microsoft.com/office/drawing/2014/main" id="{C95772F7-013F-4862-ABAB-2664C345277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08" name="Text 3">
          <a:extLst>
            <a:ext uri="{FF2B5EF4-FFF2-40B4-BE49-F238E27FC236}">
              <a16:creationId xmlns:a16="http://schemas.microsoft.com/office/drawing/2014/main" id="{CB534B9F-190C-4174-A795-A901A0561BB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09" name="Text 3">
          <a:extLst>
            <a:ext uri="{FF2B5EF4-FFF2-40B4-BE49-F238E27FC236}">
              <a16:creationId xmlns:a16="http://schemas.microsoft.com/office/drawing/2014/main" id="{C39833F5-94E1-4CE8-BE94-7C6A88A6010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10" name="Text 3">
          <a:extLst>
            <a:ext uri="{FF2B5EF4-FFF2-40B4-BE49-F238E27FC236}">
              <a16:creationId xmlns:a16="http://schemas.microsoft.com/office/drawing/2014/main" id="{666078DF-C925-47FF-A0B0-F2E163B6F68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11" name="Text 3">
          <a:extLst>
            <a:ext uri="{FF2B5EF4-FFF2-40B4-BE49-F238E27FC236}">
              <a16:creationId xmlns:a16="http://schemas.microsoft.com/office/drawing/2014/main" id="{0CB51C60-0762-4ACE-8ED7-D819AADF730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12" name="Text 3">
          <a:extLst>
            <a:ext uri="{FF2B5EF4-FFF2-40B4-BE49-F238E27FC236}">
              <a16:creationId xmlns:a16="http://schemas.microsoft.com/office/drawing/2014/main" id="{7127ADB7-2757-4586-8E4B-9AE58AC59D7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13" name="Text 3">
          <a:extLst>
            <a:ext uri="{FF2B5EF4-FFF2-40B4-BE49-F238E27FC236}">
              <a16:creationId xmlns:a16="http://schemas.microsoft.com/office/drawing/2014/main" id="{F2E79445-5883-4B47-95C5-05161283CB5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14" name="Text 3">
          <a:extLst>
            <a:ext uri="{FF2B5EF4-FFF2-40B4-BE49-F238E27FC236}">
              <a16:creationId xmlns:a16="http://schemas.microsoft.com/office/drawing/2014/main" id="{1D52DC12-C102-49A2-BF10-EAB6E1ECAE3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15" name="Text 3">
          <a:extLst>
            <a:ext uri="{FF2B5EF4-FFF2-40B4-BE49-F238E27FC236}">
              <a16:creationId xmlns:a16="http://schemas.microsoft.com/office/drawing/2014/main" id="{F52C728F-8983-4869-AE07-7CD46956FC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16" name="Text 3">
          <a:extLst>
            <a:ext uri="{FF2B5EF4-FFF2-40B4-BE49-F238E27FC236}">
              <a16:creationId xmlns:a16="http://schemas.microsoft.com/office/drawing/2014/main" id="{2206399B-ABAF-43E0-8A4F-7ECAAD11401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17" name="Text 3">
          <a:extLst>
            <a:ext uri="{FF2B5EF4-FFF2-40B4-BE49-F238E27FC236}">
              <a16:creationId xmlns:a16="http://schemas.microsoft.com/office/drawing/2014/main" id="{E5608324-E280-4B93-88A6-96DBDB0A467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18" name="Text 3">
          <a:extLst>
            <a:ext uri="{FF2B5EF4-FFF2-40B4-BE49-F238E27FC236}">
              <a16:creationId xmlns:a16="http://schemas.microsoft.com/office/drawing/2014/main" id="{8A58B8F7-2C52-4506-BECA-B6C654961AD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19" name="Text 3">
          <a:extLst>
            <a:ext uri="{FF2B5EF4-FFF2-40B4-BE49-F238E27FC236}">
              <a16:creationId xmlns:a16="http://schemas.microsoft.com/office/drawing/2014/main" id="{CE84FD5F-DFE6-41B1-9049-C819F495E5E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20" name="Text 3">
          <a:extLst>
            <a:ext uri="{FF2B5EF4-FFF2-40B4-BE49-F238E27FC236}">
              <a16:creationId xmlns:a16="http://schemas.microsoft.com/office/drawing/2014/main" id="{B792CD77-07CC-45AF-8738-5428A3C199A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21" name="Text 3">
          <a:extLst>
            <a:ext uri="{FF2B5EF4-FFF2-40B4-BE49-F238E27FC236}">
              <a16:creationId xmlns:a16="http://schemas.microsoft.com/office/drawing/2014/main" id="{6AA9D933-36FA-462A-BC94-6F8EC6A2057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22" name="Text 3">
          <a:extLst>
            <a:ext uri="{FF2B5EF4-FFF2-40B4-BE49-F238E27FC236}">
              <a16:creationId xmlns:a16="http://schemas.microsoft.com/office/drawing/2014/main" id="{D7EE5222-6A7D-417B-A2AE-4BA0F392021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23" name="Text 3">
          <a:extLst>
            <a:ext uri="{FF2B5EF4-FFF2-40B4-BE49-F238E27FC236}">
              <a16:creationId xmlns:a16="http://schemas.microsoft.com/office/drawing/2014/main" id="{94439A0B-4836-4522-B644-95CEC446D50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24" name="Text 3">
          <a:extLst>
            <a:ext uri="{FF2B5EF4-FFF2-40B4-BE49-F238E27FC236}">
              <a16:creationId xmlns:a16="http://schemas.microsoft.com/office/drawing/2014/main" id="{704415AE-9BB3-4D34-ABBF-57FEBBECF24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25" name="Text 3">
          <a:extLst>
            <a:ext uri="{FF2B5EF4-FFF2-40B4-BE49-F238E27FC236}">
              <a16:creationId xmlns:a16="http://schemas.microsoft.com/office/drawing/2014/main" id="{54590089-3A1F-4101-B983-C1F255016B2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26" name="Text 3">
          <a:extLst>
            <a:ext uri="{FF2B5EF4-FFF2-40B4-BE49-F238E27FC236}">
              <a16:creationId xmlns:a16="http://schemas.microsoft.com/office/drawing/2014/main" id="{DE9C3981-A532-46B0-B81E-3E9CBF2F9A4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27" name="Text 3">
          <a:extLst>
            <a:ext uri="{FF2B5EF4-FFF2-40B4-BE49-F238E27FC236}">
              <a16:creationId xmlns:a16="http://schemas.microsoft.com/office/drawing/2014/main" id="{007AB26E-B8A2-4B10-A8EC-68E8BFAE858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28" name="Text 3">
          <a:extLst>
            <a:ext uri="{FF2B5EF4-FFF2-40B4-BE49-F238E27FC236}">
              <a16:creationId xmlns:a16="http://schemas.microsoft.com/office/drawing/2014/main" id="{C4F173CA-EC2B-4461-B062-D8A9F65E521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29" name="Text 3">
          <a:extLst>
            <a:ext uri="{FF2B5EF4-FFF2-40B4-BE49-F238E27FC236}">
              <a16:creationId xmlns:a16="http://schemas.microsoft.com/office/drawing/2014/main" id="{914F3ACE-5108-42AA-9770-5738189EF4F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30" name="Text 3">
          <a:extLst>
            <a:ext uri="{FF2B5EF4-FFF2-40B4-BE49-F238E27FC236}">
              <a16:creationId xmlns:a16="http://schemas.microsoft.com/office/drawing/2014/main" id="{06E432FB-F991-4A73-8F89-15F84D9D74D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31" name="Text 3">
          <a:extLst>
            <a:ext uri="{FF2B5EF4-FFF2-40B4-BE49-F238E27FC236}">
              <a16:creationId xmlns:a16="http://schemas.microsoft.com/office/drawing/2014/main" id="{938062CC-975C-4A17-8572-2AE1407D515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32" name="Text 3">
          <a:extLst>
            <a:ext uri="{FF2B5EF4-FFF2-40B4-BE49-F238E27FC236}">
              <a16:creationId xmlns:a16="http://schemas.microsoft.com/office/drawing/2014/main" id="{B31CF795-5369-4C7E-9533-5168C089B91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33" name="Text 3">
          <a:extLst>
            <a:ext uri="{FF2B5EF4-FFF2-40B4-BE49-F238E27FC236}">
              <a16:creationId xmlns:a16="http://schemas.microsoft.com/office/drawing/2014/main" id="{996A4BC2-96B1-4E8C-A557-51474FA6CA7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34" name="Text 3">
          <a:extLst>
            <a:ext uri="{FF2B5EF4-FFF2-40B4-BE49-F238E27FC236}">
              <a16:creationId xmlns:a16="http://schemas.microsoft.com/office/drawing/2014/main" id="{1CE0876D-D19E-4DCD-B622-9C33C05B460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35" name="Text 3">
          <a:extLst>
            <a:ext uri="{FF2B5EF4-FFF2-40B4-BE49-F238E27FC236}">
              <a16:creationId xmlns:a16="http://schemas.microsoft.com/office/drawing/2014/main" id="{BC998D66-246A-4C89-BBDD-94B0331B9BE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36" name="Text 3">
          <a:extLst>
            <a:ext uri="{FF2B5EF4-FFF2-40B4-BE49-F238E27FC236}">
              <a16:creationId xmlns:a16="http://schemas.microsoft.com/office/drawing/2014/main" id="{9D9B2B91-ED87-480C-8C9A-87E28994520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37" name="Text 3">
          <a:extLst>
            <a:ext uri="{FF2B5EF4-FFF2-40B4-BE49-F238E27FC236}">
              <a16:creationId xmlns:a16="http://schemas.microsoft.com/office/drawing/2014/main" id="{B772AFD6-0F67-49F1-B57A-C34FD7DD62C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38" name="Text 3">
          <a:extLst>
            <a:ext uri="{FF2B5EF4-FFF2-40B4-BE49-F238E27FC236}">
              <a16:creationId xmlns:a16="http://schemas.microsoft.com/office/drawing/2014/main" id="{7EE3F363-EF34-4319-9852-D385C0A18EE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39" name="Text 3">
          <a:extLst>
            <a:ext uri="{FF2B5EF4-FFF2-40B4-BE49-F238E27FC236}">
              <a16:creationId xmlns:a16="http://schemas.microsoft.com/office/drawing/2014/main" id="{F9A36205-8C65-478A-BA87-7EBE618D199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40" name="Text 3">
          <a:extLst>
            <a:ext uri="{FF2B5EF4-FFF2-40B4-BE49-F238E27FC236}">
              <a16:creationId xmlns:a16="http://schemas.microsoft.com/office/drawing/2014/main" id="{97174C1F-87DC-4396-A45D-4DBBB439A93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41" name="Text 3">
          <a:extLst>
            <a:ext uri="{FF2B5EF4-FFF2-40B4-BE49-F238E27FC236}">
              <a16:creationId xmlns:a16="http://schemas.microsoft.com/office/drawing/2014/main" id="{4FF2545A-AE22-4499-B035-0D07A31C4B7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42" name="Text 3">
          <a:extLst>
            <a:ext uri="{FF2B5EF4-FFF2-40B4-BE49-F238E27FC236}">
              <a16:creationId xmlns:a16="http://schemas.microsoft.com/office/drawing/2014/main" id="{8B1CC127-76A7-456A-B38F-71977B37B4A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43" name="Text 3">
          <a:extLst>
            <a:ext uri="{FF2B5EF4-FFF2-40B4-BE49-F238E27FC236}">
              <a16:creationId xmlns:a16="http://schemas.microsoft.com/office/drawing/2014/main" id="{2D22B939-65AC-495D-B7F5-AACC2FC84EE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44" name="Text 3">
          <a:extLst>
            <a:ext uri="{FF2B5EF4-FFF2-40B4-BE49-F238E27FC236}">
              <a16:creationId xmlns:a16="http://schemas.microsoft.com/office/drawing/2014/main" id="{792AEA84-9528-4B00-8532-0240B692EE2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45" name="Text 3">
          <a:extLst>
            <a:ext uri="{FF2B5EF4-FFF2-40B4-BE49-F238E27FC236}">
              <a16:creationId xmlns:a16="http://schemas.microsoft.com/office/drawing/2014/main" id="{36D432A8-F3C3-462E-935C-515796E642B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46" name="Text 3">
          <a:extLst>
            <a:ext uri="{FF2B5EF4-FFF2-40B4-BE49-F238E27FC236}">
              <a16:creationId xmlns:a16="http://schemas.microsoft.com/office/drawing/2014/main" id="{7860AD3F-DF88-447D-9728-B2B560B78B3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47" name="Text 3">
          <a:extLst>
            <a:ext uri="{FF2B5EF4-FFF2-40B4-BE49-F238E27FC236}">
              <a16:creationId xmlns:a16="http://schemas.microsoft.com/office/drawing/2014/main" id="{085F8779-9E6E-418C-8B32-D1CF1B8874A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48" name="Text 3">
          <a:extLst>
            <a:ext uri="{FF2B5EF4-FFF2-40B4-BE49-F238E27FC236}">
              <a16:creationId xmlns:a16="http://schemas.microsoft.com/office/drawing/2014/main" id="{61099126-C047-4C8B-8934-8B8DC658C79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49" name="Text 3">
          <a:extLst>
            <a:ext uri="{FF2B5EF4-FFF2-40B4-BE49-F238E27FC236}">
              <a16:creationId xmlns:a16="http://schemas.microsoft.com/office/drawing/2014/main" id="{C2CEC2AB-0EBC-4C48-ABEE-EC94D76EBDC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50" name="Text 3">
          <a:extLst>
            <a:ext uri="{FF2B5EF4-FFF2-40B4-BE49-F238E27FC236}">
              <a16:creationId xmlns:a16="http://schemas.microsoft.com/office/drawing/2014/main" id="{01FDF93F-C5A5-48B1-A87D-3B26DDFFEDB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51" name="Text 3">
          <a:extLst>
            <a:ext uri="{FF2B5EF4-FFF2-40B4-BE49-F238E27FC236}">
              <a16:creationId xmlns:a16="http://schemas.microsoft.com/office/drawing/2014/main" id="{5DAFCBD8-FB1C-4211-8FDB-02DF5346741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52" name="Text 3">
          <a:extLst>
            <a:ext uri="{FF2B5EF4-FFF2-40B4-BE49-F238E27FC236}">
              <a16:creationId xmlns:a16="http://schemas.microsoft.com/office/drawing/2014/main" id="{643002EA-73DC-4CE1-9C1C-E004D00EFC5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53" name="Text 3">
          <a:extLst>
            <a:ext uri="{FF2B5EF4-FFF2-40B4-BE49-F238E27FC236}">
              <a16:creationId xmlns:a16="http://schemas.microsoft.com/office/drawing/2014/main" id="{DC924844-D584-4D4E-966C-0CBA3E8BC26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54" name="Text 3">
          <a:extLst>
            <a:ext uri="{FF2B5EF4-FFF2-40B4-BE49-F238E27FC236}">
              <a16:creationId xmlns:a16="http://schemas.microsoft.com/office/drawing/2014/main" id="{E0461440-4314-46E5-806F-03EB9198B7A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55" name="Text 3">
          <a:extLst>
            <a:ext uri="{FF2B5EF4-FFF2-40B4-BE49-F238E27FC236}">
              <a16:creationId xmlns:a16="http://schemas.microsoft.com/office/drawing/2014/main" id="{1BC02D6D-CB40-4EA7-8805-830ACBC6C3A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56" name="Text 3">
          <a:extLst>
            <a:ext uri="{FF2B5EF4-FFF2-40B4-BE49-F238E27FC236}">
              <a16:creationId xmlns:a16="http://schemas.microsoft.com/office/drawing/2014/main" id="{E6CB3DCA-90F5-4ECB-A380-C87F3D07F57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57" name="Text 3">
          <a:extLst>
            <a:ext uri="{FF2B5EF4-FFF2-40B4-BE49-F238E27FC236}">
              <a16:creationId xmlns:a16="http://schemas.microsoft.com/office/drawing/2014/main" id="{4A848CA6-2EEC-4C63-8903-D5900927323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58" name="Text 3">
          <a:extLst>
            <a:ext uri="{FF2B5EF4-FFF2-40B4-BE49-F238E27FC236}">
              <a16:creationId xmlns:a16="http://schemas.microsoft.com/office/drawing/2014/main" id="{9EC6551D-00FA-4870-84AE-2019A4DC786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59" name="Text 3">
          <a:extLst>
            <a:ext uri="{FF2B5EF4-FFF2-40B4-BE49-F238E27FC236}">
              <a16:creationId xmlns:a16="http://schemas.microsoft.com/office/drawing/2014/main" id="{152CA6CF-8A47-4C4F-90BB-09D0214717C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60" name="Text 3">
          <a:extLst>
            <a:ext uri="{FF2B5EF4-FFF2-40B4-BE49-F238E27FC236}">
              <a16:creationId xmlns:a16="http://schemas.microsoft.com/office/drawing/2014/main" id="{EFA03C96-B27B-4CF0-BFEA-2B418A0DB15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61" name="Text 3">
          <a:extLst>
            <a:ext uri="{FF2B5EF4-FFF2-40B4-BE49-F238E27FC236}">
              <a16:creationId xmlns:a16="http://schemas.microsoft.com/office/drawing/2014/main" id="{71A5B08F-1870-4FBD-AC32-1E8DB648FAE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62" name="Text 3">
          <a:extLst>
            <a:ext uri="{FF2B5EF4-FFF2-40B4-BE49-F238E27FC236}">
              <a16:creationId xmlns:a16="http://schemas.microsoft.com/office/drawing/2014/main" id="{0B0A9992-D128-46F3-BD74-402763EC359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63" name="Text 3">
          <a:extLst>
            <a:ext uri="{FF2B5EF4-FFF2-40B4-BE49-F238E27FC236}">
              <a16:creationId xmlns:a16="http://schemas.microsoft.com/office/drawing/2014/main" id="{35352968-4E39-4C91-B044-8E637F7D782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64" name="Text 3">
          <a:extLst>
            <a:ext uri="{FF2B5EF4-FFF2-40B4-BE49-F238E27FC236}">
              <a16:creationId xmlns:a16="http://schemas.microsoft.com/office/drawing/2014/main" id="{015C09B6-36FB-4F4E-80D2-83979214F2A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65" name="Text 3">
          <a:extLst>
            <a:ext uri="{FF2B5EF4-FFF2-40B4-BE49-F238E27FC236}">
              <a16:creationId xmlns:a16="http://schemas.microsoft.com/office/drawing/2014/main" id="{2F80E1B6-C392-4E97-B8C3-8071336D057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66" name="Text 3">
          <a:extLst>
            <a:ext uri="{FF2B5EF4-FFF2-40B4-BE49-F238E27FC236}">
              <a16:creationId xmlns:a16="http://schemas.microsoft.com/office/drawing/2014/main" id="{1D4815F1-358A-445B-A771-3BE722F7EF2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67" name="Text 3">
          <a:extLst>
            <a:ext uri="{FF2B5EF4-FFF2-40B4-BE49-F238E27FC236}">
              <a16:creationId xmlns:a16="http://schemas.microsoft.com/office/drawing/2014/main" id="{58783AC1-1A04-48BC-B661-25F6FF0A283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68" name="Text 3">
          <a:extLst>
            <a:ext uri="{FF2B5EF4-FFF2-40B4-BE49-F238E27FC236}">
              <a16:creationId xmlns:a16="http://schemas.microsoft.com/office/drawing/2014/main" id="{3860D593-C081-44A4-9038-A2BD50ABCFE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69" name="Text 3">
          <a:extLst>
            <a:ext uri="{FF2B5EF4-FFF2-40B4-BE49-F238E27FC236}">
              <a16:creationId xmlns:a16="http://schemas.microsoft.com/office/drawing/2014/main" id="{54983396-4DA5-44AC-901B-00410C7D77C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70" name="Text 3">
          <a:extLst>
            <a:ext uri="{FF2B5EF4-FFF2-40B4-BE49-F238E27FC236}">
              <a16:creationId xmlns:a16="http://schemas.microsoft.com/office/drawing/2014/main" id="{0CDCB761-59A6-489F-854B-25A6AB3EDD9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71" name="Text 3">
          <a:extLst>
            <a:ext uri="{FF2B5EF4-FFF2-40B4-BE49-F238E27FC236}">
              <a16:creationId xmlns:a16="http://schemas.microsoft.com/office/drawing/2014/main" id="{A6A54BD2-82A5-43DC-A510-080D99B6DFF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72" name="Text 3">
          <a:extLst>
            <a:ext uri="{FF2B5EF4-FFF2-40B4-BE49-F238E27FC236}">
              <a16:creationId xmlns:a16="http://schemas.microsoft.com/office/drawing/2014/main" id="{338EFF76-85AC-41F3-884C-A817C0C8D14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73" name="Text 3">
          <a:extLst>
            <a:ext uri="{FF2B5EF4-FFF2-40B4-BE49-F238E27FC236}">
              <a16:creationId xmlns:a16="http://schemas.microsoft.com/office/drawing/2014/main" id="{C8F6AE18-1471-41DD-A2E3-1FAF23A3B1F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74" name="Text 3">
          <a:extLst>
            <a:ext uri="{FF2B5EF4-FFF2-40B4-BE49-F238E27FC236}">
              <a16:creationId xmlns:a16="http://schemas.microsoft.com/office/drawing/2014/main" id="{864C5870-E776-4F32-9C7F-5967727ED85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75" name="Text 3">
          <a:extLst>
            <a:ext uri="{FF2B5EF4-FFF2-40B4-BE49-F238E27FC236}">
              <a16:creationId xmlns:a16="http://schemas.microsoft.com/office/drawing/2014/main" id="{2CB5D901-113F-4E5E-BAA2-3617C9E5CB8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76" name="Text 3">
          <a:extLst>
            <a:ext uri="{FF2B5EF4-FFF2-40B4-BE49-F238E27FC236}">
              <a16:creationId xmlns:a16="http://schemas.microsoft.com/office/drawing/2014/main" id="{BB598F66-B646-45FC-9548-F228799060C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77" name="Text 3">
          <a:extLst>
            <a:ext uri="{FF2B5EF4-FFF2-40B4-BE49-F238E27FC236}">
              <a16:creationId xmlns:a16="http://schemas.microsoft.com/office/drawing/2014/main" id="{78E7D129-3141-4610-ABF7-BF53D687E4B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78" name="Text 3">
          <a:extLst>
            <a:ext uri="{FF2B5EF4-FFF2-40B4-BE49-F238E27FC236}">
              <a16:creationId xmlns:a16="http://schemas.microsoft.com/office/drawing/2014/main" id="{B43E81BD-761E-4D6F-BE85-F9A44DB5D1B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79" name="Text 3">
          <a:extLst>
            <a:ext uri="{FF2B5EF4-FFF2-40B4-BE49-F238E27FC236}">
              <a16:creationId xmlns:a16="http://schemas.microsoft.com/office/drawing/2014/main" id="{5913BA8D-59E1-4358-9605-BCBA4C40BA7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80" name="Text 3">
          <a:extLst>
            <a:ext uri="{FF2B5EF4-FFF2-40B4-BE49-F238E27FC236}">
              <a16:creationId xmlns:a16="http://schemas.microsoft.com/office/drawing/2014/main" id="{430BB7FC-335F-453D-BE7D-094F260F761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81" name="Text 3">
          <a:extLst>
            <a:ext uri="{FF2B5EF4-FFF2-40B4-BE49-F238E27FC236}">
              <a16:creationId xmlns:a16="http://schemas.microsoft.com/office/drawing/2014/main" id="{D309AD6F-472D-4F27-A084-7DA9347D189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82" name="Text 3">
          <a:extLst>
            <a:ext uri="{FF2B5EF4-FFF2-40B4-BE49-F238E27FC236}">
              <a16:creationId xmlns:a16="http://schemas.microsoft.com/office/drawing/2014/main" id="{56BE454F-EB5A-4193-B1AE-F09F1CE2B0F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83" name="Text 3">
          <a:extLst>
            <a:ext uri="{FF2B5EF4-FFF2-40B4-BE49-F238E27FC236}">
              <a16:creationId xmlns:a16="http://schemas.microsoft.com/office/drawing/2014/main" id="{633BD534-AF98-4B38-92DD-B4A7EFA7F27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84" name="Text 3">
          <a:extLst>
            <a:ext uri="{FF2B5EF4-FFF2-40B4-BE49-F238E27FC236}">
              <a16:creationId xmlns:a16="http://schemas.microsoft.com/office/drawing/2014/main" id="{122E7EF7-04DD-4F72-8727-4677693A71F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85" name="Text 3">
          <a:extLst>
            <a:ext uri="{FF2B5EF4-FFF2-40B4-BE49-F238E27FC236}">
              <a16:creationId xmlns:a16="http://schemas.microsoft.com/office/drawing/2014/main" id="{9DADE087-2E0D-42F8-B355-DCA3270DAFF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86" name="Text 3">
          <a:extLst>
            <a:ext uri="{FF2B5EF4-FFF2-40B4-BE49-F238E27FC236}">
              <a16:creationId xmlns:a16="http://schemas.microsoft.com/office/drawing/2014/main" id="{9233E227-9B2E-42B3-BE94-FE216ADA71C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87" name="Text 3">
          <a:extLst>
            <a:ext uri="{FF2B5EF4-FFF2-40B4-BE49-F238E27FC236}">
              <a16:creationId xmlns:a16="http://schemas.microsoft.com/office/drawing/2014/main" id="{8AFDCBAE-B3BB-41AE-852C-E44D974FA0F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88" name="Text 3">
          <a:extLst>
            <a:ext uri="{FF2B5EF4-FFF2-40B4-BE49-F238E27FC236}">
              <a16:creationId xmlns:a16="http://schemas.microsoft.com/office/drawing/2014/main" id="{596D9905-BCC2-472A-B899-D0EC87AADF2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89" name="Text 3">
          <a:extLst>
            <a:ext uri="{FF2B5EF4-FFF2-40B4-BE49-F238E27FC236}">
              <a16:creationId xmlns:a16="http://schemas.microsoft.com/office/drawing/2014/main" id="{C27AF11E-C2E8-48E4-8302-D7F479D43FF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90" name="Text 3">
          <a:extLst>
            <a:ext uri="{FF2B5EF4-FFF2-40B4-BE49-F238E27FC236}">
              <a16:creationId xmlns:a16="http://schemas.microsoft.com/office/drawing/2014/main" id="{78F1BFD4-C25E-4B05-9325-E150380D4B3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91" name="Text 3">
          <a:extLst>
            <a:ext uri="{FF2B5EF4-FFF2-40B4-BE49-F238E27FC236}">
              <a16:creationId xmlns:a16="http://schemas.microsoft.com/office/drawing/2014/main" id="{7B581EFD-C702-4567-8FD3-2C29806229F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92" name="Text 3">
          <a:extLst>
            <a:ext uri="{FF2B5EF4-FFF2-40B4-BE49-F238E27FC236}">
              <a16:creationId xmlns:a16="http://schemas.microsoft.com/office/drawing/2014/main" id="{591A1ABA-C30D-4641-B1B0-29008461E34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93" name="Text 3">
          <a:extLst>
            <a:ext uri="{FF2B5EF4-FFF2-40B4-BE49-F238E27FC236}">
              <a16:creationId xmlns:a16="http://schemas.microsoft.com/office/drawing/2014/main" id="{2DA72979-1C29-44C8-8D0C-27A945F1022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94" name="Text 3">
          <a:extLst>
            <a:ext uri="{FF2B5EF4-FFF2-40B4-BE49-F238E27FC236}">
              <a16:creationId xmlns:a16="http://schemas.microsoft.com/office/drawing/2014/main" id="{826DD3A8-FF48-4B68-A468-B138B99FD61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95" name="Text 3">
          <a:extLst>
            <a:ext uri="{FF2B5EF4-FFF2-40B4-BE49-F238E27FC236}">
              <a16:creationId xmlns:a16="http://schemas.microsoft.com/office/drawing/2014/main" id="{7292B828-4249-4D98-93F3-EFC610DE3A7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96" name="Text 3">
          <a:extLst>
            <a:ext uri="{FF2B5EF4-FFF2-40B4-BE49-F238E27FC236}">
              <a16:creationId xmlns:a16="http://schemas.microsoft.com/office/drawing/2014/main" id="{DEDF0ECA-DF52-4E9F-9122-D76E4DDFD76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297" name="Text 3">
          <a:extLst>
            <a:ext uri="{FF2B5EF4-FFF2-40B4-BE49-F238E27FC236}">
              <a16:creationId xmlns:a16="http://schemas.microsoft.com/office/drawing/2014/main" id="{DD67A945-D33D-48FE-85D2-526A4790C06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298" name="Text 3">
          <a:extLst>
            <a:ext uri="{FF2B5EF4-FFF2-40B4-BE49-F238E27FC236}">
              <a16:creationId xmlns:a16="http://schemas.microsoft.com/office/drawing/2014/main" id="{808273BE-BE1C-4314-AAB0-EC03DD8BC8D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299" name="Text 3">
          <a:extLst>
            <a:ext uri="{FF2B5EF4-FFF2-40B4-BE49-F238E27FC236}">
              <a16:creationId xmlns:a16="http://schemas.microsoft.com/office/drawing/2014/main" id="{56C1C381-B84B-4599-B372-21750A1248F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00" name="Text 3">
          <a:extLst>
            <a:ext uri="{FF2B5EF4-FFF2-40B4-BE49-F238E27FC236}">
              <a16:creationId xmlns:a16="http://schemas.microsoft.com/office/drawing/2014/main" id="{FA072727-C92F-4467-A586-6F5634F5F0D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01" name="Text 3">
          <a:extLst>
            <a:ext uri="{FF2B5EF4-FFF2-40B4-BE49-F238E27FC236}">
              <a16:creationId xmlns:a16="http://schemas.microsoft.com/office/drawing/2014/main" id="{63748B04-0E46-477F-BA27-EE62BBC907B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02" name="Text 3">
          <a:extLst>
            <a:ext uri="{FF2B5EF4-FFF2-40B4-BE49-F238E27FC236}">
              <a16:creationId xmlns:a16="http://schemas.microsoft.com/office/drawing/2014/main" id="{AF35EDC0-FA77-46C5-814E-1A29CC89A68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03" name="Text 3">
          <a:extLst>
            <a:ext uri="{FF2B5EF4-FFF2-40B4-BE49-F238E27FC236}">
              <a16:creationId xmlns:a16="http://schemas.microsoft.com/office/drawing/2014/main" id="{0FC6AD45-4F3E-4AE6-B4BA-C0765087950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04" name="Text 3">
          <a:extLst>
            <a:ext uri="{FF2B5EF4-FFF2-40B4-BE49-F238E27FC236}">
              <a16:creationId xmlns:a16="http://schemas.microsoft.com/office/drawing/2014/main" id="{E7098395-6C8C-432D-8A59-C96ADD3FECC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05" name="Text 3">
          <a:extLst>
            <a:ext uri="{FF2B5EF4-FFF2-40B4-BE49-F238E27FC236}">
              <a16:creationId xmlns:a16="http://schemas.microsoft.com/office/drawing/2014/main" id="{E0420018-B1E7-41A8-8566-77BA79C5C81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06" name="Text 3">
          <a:extLst>
            <a:ext uri="{FF2B5EF4-FFF2-40B4-BE49-F238E27FC236}">
              <a16:creationId xmlns:a16="http://schemas.microsoft.com/office/drawing/2014/main" id="{8FCAC14E-9C43-4CDB-8DE1-842731AED2C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07" name="Text 3">
          <a:extLst>
            <a:ext uri="{FF2B5EF4-FFF2-40B4-BE49-F238E27FC236}">
              <a16:creationId xmlns:a16="http://schemas.microsoft.com/office/drawing/2014/main" id="{C7D82C27-4962-449D-A760-CA7544CB6B0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08" name="Text 3">
          <a:extLst>
            <a:ext uri="{FF2B5EF4-FFF2-40B4-BE49-F238E27FC236}">
              <a16:creationId xmlns:a16="http://schemas.microsoft.com/office/drawing/2014/main" id="{6E3B953B-A9F4-49E5-95BA-E1D27B4890F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09" name="Text 3">
          <a:extLst>
            <a:ext uri="{FF2B5EF4-FFF2-40B4-BE49-F238E27FC236}">
              <a16:creationId xmlns:a16="http://schemas.microsoft.com/office/drawing/2014/main" id="{502A63F2-78DC-49E3-8B8F-5EC7851F93D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10" name="Text 3">
          <a:extLst>
            <a:ext uri="{FF2B5EF4-FFF2-40B4-BE49-F238E27FC236}">
              <a16:creationId xmlns:a16="http://schemas.microsoft.com/office/drawing/2014/main" id="{6CA44CED-99BC-402F-84CC-8E37B9A1848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11" name="Text 3">
          <a:extLst>
            <a:ext uri="{FF2B5EF4-FFF2-40B4-BE49-F238E27FC236}">
              <a16:creationId xmlns:a16="http://schemas.microsoft.com/office/drawing/2014/main" id="{263AC8B6-0C6B-4A18-89F3-6FEFA4712F4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12" name="Text 3">
          <a:extLst>
            <a:ext uri="{FF2B5EF4-FFF2-40B4-BE49-F238E27FC236}">
              <a16:creationId xmlns:a16="http://schemas.microsoft.com/office/drawing/2014/main" id="{53D71A0B-1080-462A-AD3F-5100AFE027B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13" name="Text 3">
          <a:extLst>
            <a:ext uri="{FF2B5EF4-FFF2-40B4-BE49-F238E27FC236}">
              <a16:creationId xmlns:a16="http://schemas.microsoft.com/office/drawing/2014/main" id="{C4E4714B-1F1A-4D12-A9E6-5D166F1E2CA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14" name="Text 3">
          <a:extLst>
            <a:ext uri="{FF2B5EF4-FFF2-40B4-BE49-F238E27FC236}">
              <a16:creationId xmlns:a16="http://schemas.microsoft.com/office/drawing/2014/main" id="{1AB0AEB1-2E96-4885-8B97-C3C520A6164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15" name="Text 3">
          <a:extLst>
            <a:ext uri="{FF2B5EF4-FFF2-40B4-BE49-F238E27FC236}">
              <a16:creationId xmlns:a16="http://schemas.microsoft.com/office/drawing/2014/main" id="{640BA777-EB0A-4D71-B94A-565051C8317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16" name="Text 3">
          <a:extLst>
            <a:ext uri="{FF2B5EF4-FFF2-40B4-BE49-F238E27FC236}">
              <a16:creationId xmlns:a16="http://schemas.microsoft.com/office/drawing/2014/main" id="{6989EF71-887F-4829-B18A-7DD8BB22F9E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17" name="Text 3">
          <a:extLst>
            <a:ext uri="{FF2B5EF4-FFF2-40B4-BE49-F238E27FC236}">
              <a16:creationId xmlns:a16="http://schemas.microsoft.com/office/drawing/2014/main" id="{54A2D817-BE78-429F-9361-BC4BBCC8B2B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18" name="Text 3">
          <a:extLst>
            <a:ext uri="{FF2B5EF4-FFF2-40B4-BE49-F238E27FC236}">
              <a16:creationId xmlns:a16="http://schemas.microsoft.com/office/drawing/2014/main" id="{13C47487-37B2-4A45-8CEA-E9C328BC183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19" name="Text 3">
          <a:extLst>
            <a:ext uri="{FF2B5EF4-FFF2-40B4-BE49-F238E27FC236}">
              <a16:creationId xmlns:a16="http://schemas.microsoft.com/office/drawing/2014/main" id="{C9EC0D35-3175-4F23-8967-38484A65A82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20" name="Text 3">
          <a:extLst>
            <a:ext uri="{FF2B5EF4-FFF2-40B4-BE49-F238E27FC236}">
              <a16:creationId xmlns:a16="http://schemas.microsoft.com/office/drawing/2014/main" id="{A4C29512-7343-4218-AECE-1E3FBB59B3A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21" name="Text 3">
          <a:extLst>
            <a:ext uri="{FF2B5EF4-FFF2-40B4-BE49-F238E27FC236}">
              <a16:creationId xmlns:a16="http://schemas.microsoft.com/office/drawing/2014/main" id="{3F29AA0A-851C-4541-BE08-B347C64436E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22" name="Text 3">
          <a:extLst>
            <a:ext uri="{FF2B5EF4-FFF2-40B4-BE49-F238E27FC236}">
              <a16:creationId xmlns:a16="http://schemas.microsoft.com/office/drawing/2014/main" id="{98D56AD0-490A-4FD9-91C8-F97FBA283FF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23" name="Text 3">
          <a:extLst>
            <a:ext uri="{FF2B5EF4-FFF2-40B4-BE49-F238E27FC236}">
              <a16:creationId xmlns:a16="http://schemas.microsoft.com/office/drawing/2014/main" id="{C4F21013-875D-4F78-A1C4-A2C8DA613EA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24" name="Text 3">
          <a:extLst>
            <a:ext uri="{FF2B5EF4-FFF2-40B4-BE49-F238E27FC236}">
              <a16:creationId xmlns:a16="http://schemas.microsoft.com/office/drawing/2014/main" id="{D63E44B5-DC32-4F36-830C-875ABDF3A33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25" name="Text 3">
          <a:extLst>
            <a:ext uri="{FF2B5EF4-FFF2-40B4-BE49-F238E27FC236}">
              <a16:creationId xmlns:a16="http://schemas.microsoft.com/office/drawing/2014/main" id="{4EA5E272-128E-4B2F-BD68-07DC5D2F4B1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26" name="Text 3">
          <a:extLst>
            <a:ext uri="{FF2B5EF4-FFF2-40B4-BE49-F238E27FC236}">
              <a16:creationId xmlns:a16="http://schemas.microsoft.com/office/drawing/2014/main" id="{BAA9903F-E3E7-429A-A9D7-31745F2A94B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27" name="Text 3">
          <a:extLst>
            <a:ext uri="{FF2B5EF4-FFF2-40B4-BE49-F238E27FC236}">
              <a16:creationId xmlns:a16="http://schemas.microsoft.com/office/drawing/2014/main" id="{5CB16603-5D51-4831-B6DE-DE186BF5007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28" name="Text 3">
          <a:extLst>
            <a:ext uri="{FF2B5EF4-FFF2-40B4-BE49-F238E27FC236}">
              <a16:creationId xmlns:a16="http://schemas.microsoft.com/office/drawing/2014/main" id="{FE3425B7-FB54-44B2-A218-D1ECC8CCD83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29" name="Text 3">
          <a:extLst>
            <a:ext uri="{FF2B5EF4-FFF2-40B4-BE49-F238E27FC236}">
              <a16:creationId xmlns:a16="http://schemas.microsoft.com/office/drawing/2014/main" id="{9774036A-8868-4B88-94E6-EEBF1AFD7A8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30" name="Text 3">
          <a:extLst>
            <a:ext uri="{FF2B5EF4-FFF2-40B4-BE49-F238E27FC236}">
              <a16:creationId xmlns:a16="http://schemas.microsoft.com/office/drawing/2014/main" id="{D7B6E618-A3DF-42F6-BA25-FF2F728228E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31" name="Text 3">
          <a:extLst>
            <a:ext uri="{FF2B5EF4-FFF2-40B4-BE49-F238E27FC236}">
              <a16:creationId xmlns:a16="http://schemas.microsoft.com/office/drawing/2014/main" id="{8FEBCD64-A93C-4A13-B836-8C9F94F1870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32" name="Text 3">
          <a:extLst>
            <a:ext uri="{FF2B5EF4-FFF2-40B4-BE49-F238E27FC236}">
              <a16:creationId xmlns:a16="http://schemas.microsoft.com/office/drawing/2014/main" id="{6DF93B6E-0262-4C69-9D20-D4338FBC68A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33" name="Text 3">
          <a:extLst>
            <a:ext uri="{FF2B5EF4-FFF2-40B4-BE49-F238E27FC236}">
              <a16:creationId xmlns:a16="http://schemas.microsoft.com/office/drawing/2014/main" id="{8A5F738C-B297-4CF3-965A-A7FE6DDA2FA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34" name="Text 3">
          <a:extLst>
            <a:ext uri="{FF2B5EF4-FFF2-40B4-BE49-F238E27FC236}">
              <a16:creationId xmlns:a16="http://schemas.microsoft.com/office/drawing/2014/main" id="{C5B02420-3F37-40BF-875B-6C9F6FF0250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35" name="Text 3">
          <a:extLst>
            <a:ext uri="{FF2B5EF4-FFF2-40B4-BE49-F238E27FC236}">
              <a16:creationId xmlns:a16="http://schemas.microsoft.com/office/drawing/2014/main" id="{DE1D6D39-1E91-408B-953C-CE7E37C555D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36" name="Text 3">
          <a:extLst>
            <a:ext uri="{FF2B5EF4-FFF2-40B4-BE49-F238E27FC236}">
              <a16:creationId xmlns:a16="http://schemas.microsoft.com/office/drawing/2014/main" id="{E6E12D9B-9263-4248-BF36-B7DF88D0007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37" name="Text 3">
          <a:extLst>
            <a:ext uri="{FF2B5EF4-FFF2-40B4-BE49-F238E27FC236}">
              <a16:creationId xmlns:a16="http://schemas.microsoft.com/office/drawing/2014/main" id="{C9A8E534-2158-4972-AC33-717D0DD33A2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38" name="Text 3">
          <a:extLst>
            <a:ext uri="{FF2B5EF4-FFF2-40B4-BE49-F238E27FC236}">
              <a16:creationId xmlns:a16="http://schemas.microsoft.com/office/drawing/2014/main" id="{5DA1F379-B504-4F53-893F-FC5B6EC7E47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39" name="Text 3">
          <a:extLst>
            <a:ext uri="{FF2B5EF4-FFF2-40B4-BE49-F238E27FC236}">
              <a16:creationId xmlns:a16="http://schemas.microsoft.com/office/drawing/2014/main" id="{6061CE0F-2FB1-4A98-8495-40FB8D0C01A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40" name="Text 3">
          <a:extLst>
            <a:ext uri="{FF2B5EF4-FFF2-40B4-BE49-F238E27FC236}">
              <a16:creationId xmlns:a16="http://schemas.microsoft.com/office/drawing/2014/main" id="{683E17E0-32DC-4045-BDD0-3A610648206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41" name="Text 3">
          <a:extLst>
            <a:ext uri="{FF2B5EF4-FFF2-40B4-BE49-F238E27FC236}">
              <a16:creationId xmlns:a16="http://schemas.microsoft.com/office/drawing/2014/main" id="{CC5A06D7-2F90-4CE6-A4F0-91DAE3C0369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42" name="Text 3">
          <a:extLst>
            <a:ext uri="{FF2B5EF4-FFF2-40B4-BE49-F238E27FC236}">
              <a16:creationId xmlns:a16="http://schemas.microsoft.com/office/drawing/2014/main" id="{4F55EE6C-32B4-4BCA-A027-E5818DED8BA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43" name="Text 3">
          <a:extLst>
            <a:ext uri="{FF2B5EF4-FFF2-40B4-BE49-F238E27FC236}">
              <a16:creationId xmlns:a16="http://schemas.microsoft.com/office/drawing/2014/main" id="{22FCA209-E3FB-4B8A-8BCE-A975CEEF49A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44" name="Text 3">
          <a:extLst>
            <a:ext uri="{FF2B5EF4-FFF2-40B4-BE49-F238E27FC236}">
              <a16:creationId xmlns:a16="http://schemas.microsoft.com/office/drawing/2014/main" id="{2764BC69-F618-4E8B-AA32-582384BC158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45" name="Text 3">
          <a:extLst>
            <a:ext uri="{FF2B5EF4-FFF2-40B4-BE49-F238E27FC236}">
              <a16:creationId xmlns:a16="http://schemas.microsoft.com/office/drawing/2014/main" id="{BD7E2168-04CC-4573-980D-D52728C4322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46" name="Text 3">
          <a:extLst>
            <a:ext uri="{FF2B5EF4-FFF2-40B4-BE49-F238E27FC236}">
              <a16:creationId xmlns:a16="http://schemas.microsoft.com/office/drawing/2014/main" id="{97156B66-7AF5-4254-8235-31C645B01F0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47" name="Text 3">
          <a:extLst>
            <a:ext uri="{FF2B5EF4-FFF2-40B4-BE49-F238E27FC236}">
              <a16:creationId xmlns:a16="http://schemas.microsoft.com/office/drawing/2014/main" id="{48EF6549-7C61-49FE-8206-9B0AD45369F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48" name="Text 3">
          <a:extLst>
            <a:ext uri="{FF2B5EF4-FFF2-40B4-BE49-F238E27FC236}">
              <a16:creationId xmlns:a16="http://schemas.microsoft.com/office/drawing/2014/main" id="{085CEB6A-7641-490A-942A-3F5D9126F46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49" name="Text 3">
          <a:extLst>
            <a:ext uri="{FF2B5EF4-FFF2-40B4-BE49-F238E27FC236}">
              <a16:creationId xmlns:a16="http://schemas.microsoft.com/office/drawing/2014/main" id="{703834E2-5EAF-466A-BFB4-74702DDEDB5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50" name="Text 3">
          <a:extLst>
            <a:ext uri="{FF2B5EF4-FFF2-40B4-BE49-F238E27FC236}">
              <a16:creationId xmlns:a16="http://schemas.microsoft.com/office/drawing/2014/main" id="{ADE5E010-F41C-497D-A66D-FF78AFE3C61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51" name="Text 3">
          <a:extLst>
            <a:ext uri="{FF2B5EF4-FFF2-40B4-BE49-F238E27FC236}">
              <a16:creationId xmlns:a16="http://schemas.microsoft.com/office/drawing/2014/main" id="{643D3EE4-06B8-4AFE-81A7-6C7F0346313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52" name="Text 3">
          <a:extLst>
            <a:ext uri="{FF2B5EF4-FFF2-40B4-BE49-F238E27FC236}">
              <a16:creationId xmlns:a16="http://schemas.microsoft.com/office/drawing/2014/main" id="{366A06AC-9953-4E9F-9BDF-A6DB02A6B67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53" name="Text 3">
          <a:extLst>
            <a:ext uri="{FF2B5EF4-FFF2-40B4-BE49-F238E27FC236}">
              <a16:creationId xmlns:a16="http://schemas.microsoft.com/office/drawing/2014/main" id="{4D71CF07-1D53-47A3-B17C-E58F3EE204C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54" name="Text 3">
          <a:extLst>
            <a:ext uri="{FF2B5EF4-FFF2-40B4-BE49-F238E27FC236}">
              <a16:creationId xmlns:a16="http://schemas.microsoft.com/office/drawing/2014/main" id="{723A646D-F24F-45FB-8C64-2F1FA9E0533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55" name="Text 3">
          <a:extLst>
            <a:ext uri="{FF2B5EF4-FFF2-40B4-BE49-F238E27FC236}">
              <a16:creationId xmlns:a16="http://schemas.microsoft.com/office/drawing/2014/main" id="{FE36B54A-A656-4163-B8D7-3B3B8E9A21B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56" name="Text 3">
          <a:extLst>
            <a:ext uri="{FF2B5EF4-FFF2-40B4-BE49-F238E27FC236}">
              <a16:creationId xmlns:a16="http://schemas.microsoft.com/office/drawing/2014/main" id="{DA7ED0AC-EE09-4F35-83A1-A1A43E52E62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57" name="Text 3">
          <a:extLst>
            <a:ext uri="{FF2B5EF4-FFF2-40B4-BE49-F238E27FC236}">
              <a16:creationId xmlns:a16="http://schemas.microsoft.com/office/drawing/2014/main" id="{22501A70-9DE5-4A11-B190-239D52C18D2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58" name="Text 3">
          <a:extLst>
            <a:ext uri="{FF2B5EF4-FFF2-40B4-BE49-F238E27FC236}">
              <a16:creationId xmlns:a16="http://schemas.microsoft.com/office/drawing/2014/main" id="{627E958C-0D45-4D8F-B941-20FA308B3BC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59" name="Text 3">
          <a:extLst>
            <a:ext uri="{FF2B5EF4-FFF2-40B4-BE49-F238E27FC236}">
              <a16:creationId xmlns:a16="http://schemas.microsoft.com/office/drawing/2014/main" id="{7FBF7E4F-31BD-4EA2-B47F-3646A30D70D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60" name="Text 3">
          <a:extLst>
            <a:ext uri="{FF2B5EF4-FFF2-40B4-BE49-F238E27FC236}">
              <a16:creationId xmlns:a16="http://schemas.microsoft.com/office/drawing/2014/main" id="{DC8C4DED-80BD-44F4-8225-1A77129BE97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61" name="Text 3">
          <a:extLst>
            <a:ext uri="{FF2B5EF4-FFF2-40B4-BE49-F238E27FC236}">
              <a16:creationId xmlns:a16="http://schemas.microsoft.com/office/drawing/2014/main" id="{D7775E99-49C3-4A44-9BDF-7A929F37147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62" name="Text 3">
          <a:extLst>
            <a:ext uri="{FF2B5EF4-FFF2-40B4-BE49-F238E27FC236}">
              <a16:creationId xmlns:a16="http://schemas.microsoft.com/office/drawing/2014/main" id="{7A054598-94D9-4244-9D58-AA0A53B9163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63" name="Text 3">
          <a:extLst>
            <a:ext uri="{FF2B5EF4-FFF2-40B4-BE49-F238E27FC236}">
              <a16:creationId xmlns:a16="http://schemas.microsoft.com/office/drawing/2014/main" id="{33E6FA5F-B352-42C1-AC00-7EB41F2A8E5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64" name="Text 3">
          <a:extLst>
            <a:ext uri="{FF2B5EF4-FFF2-40B4-BE49-F238E27FC236}">
              <a16:creationId xmlns:a16="http://schemas.microsoft.com/office/drawing/2014/main" id="{BAE22E3E-C73A-400B-AF40-B352C969758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65" name="Text 3">
          <a:extLst>
            <a:ext uri="{FF2B5EF4-FFF2-40B4-BE49-F238E27FC236}">
              <a16:creationId xmlns:a16="http://schemas.microsoft.com/office/drawing/2014/main" id="{378AA86F-474D-4412-82C6-35E34680A4D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66" name="Text 3">
          <a:extLst>
            <a:ext uri="{FF2B5EF4-FFF2-40B4-BE49-F238E27FC236}">
              <a16:creationId xmlns:a16="http://schemas.microsoft.com/office/drawing/2014/main" id="{285C8984-C6CB-45E0-9230-2EAD8692A27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67" name="Text 3">
          <a:extLst>
            <a:ext uri="{FF2B5EF4-FFF2-40B4-BE49-F238E27FC236}">
              <a16:creationId xmlns:a16="http://schemas.microsoft.com/office/drawing/2014/main" id="{8F79AA6A-65D0-4750-BC92-1AFCF9BEA66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68" name="Text 3">
          <a:extLst>
            <a:ext uri="{FF2B5EF4-FFF2-40B4-BE49-F238E27FC236}">
              <a16:creationId xmlns:a16="http://schemas.microsoft.com/office/drawing/2014/main" id="{1031CC50-9123-4DF9-9B5E-D6BF9A15AB3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69" name="Text 3">
          <a:extLst>
            <a:ext uri="{FF2B5EF4-FFF2-40B4-BE49-F238E27FC236}">
              <a16:creationId xmlns:a16="http://schemas.microsoft.com/office/drawing/2014/main" id="{E0831B78-8502-4F5E-B317-4D7FAE96B75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70" name="Text 3">
          <a:extLst>
            <a:ext uri="{FF2B5EF4-FFF2-40B4-BE49-F238E27FC236}">
              <a16:creationId xmlns:a16="http://schemas.microsoft.com/office/drawing/2014/main" id="{C81C9485-43FB-41A6-A46D-FFF2E39088F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71" name="Text 3">
          <a:extLst>
            <a:ext uri="{FF2B5EF4-FFF2-40B4-BE49-F238E27FC236}">
              <a16:creationId xmlns:a16="http://schemas.microsoft.com/office/drawing/2014/main" id="{1E34C057-D6FC-4433-B4DA-DB5A79826CC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72" name="Text 3">
          <a:extLst>
            <a:ext uri="{FF2B5EF4-FFF2-40B4-BE49-F238E27FC236}">
              <a16:creationId xmlns:a16="http://schemas.microsoft.com/office/drawing/2014/main" id="{837CA580-FEF2-4F58-A9BE-793FA145A59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73" name="Text 3">
          <a:extLst>
            <a:ext uri="{FF2B5EF4-FFF2-40B4-BE49-F238E27FC236}">
              <a16:creationId xmlns:a16="http://schemas.microsoft.com/office/drawing/2014/main" id="{604639CF-3EB5-4813-BB01-E4AF7708163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74" name="Text 3">
          <a:extLst>
            <a:ext uri="{FF2B5EF4-FFF2-40B4-BE49-F238E27FC236}">
              <a16:creationId xmlns:a16="http://schemas.microsoft.com/office/drawing/2014/main" id="{D8A0ECE3-AC82-4F32-BE40-436BA6AC175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75" name="Text 3">
          <a:extLst>
            <a:ext uri="{FF2B5EF4-FFF2-40B4-BE49-F238E27FC236}">
              <a16:creationId xmlns:a16="http://schemas.microsoft.com/office/drawing/2014/main" id="{BFA393D7-EE16-40DD-9709-1CC593F4501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76" name="Text 3">
          <a:extLst>
            <a:ext uri="{FF2B5EF4-FFF2-40B4-BE49-F238E27FC236}">
              <a16:creationId xmlns:a16="http://schemas.microsoft.com/office/drawing/2014/main" id="{13A5EA85-D795-4F9B-9E16-E636AEA9FDC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77" name="Text 3">
          <a:extLst>
            <a:ext uri="{FF2B5EF4-FFF2-40B4-BE49-F238E27FC236}">
              <a16:creationId xmlns:a16="http://schemas.microsoft.com/office/drawing/2014/main" id="{0A39FC66-8F3E-4431-896A-9B5C2C3A4BF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78" name="Text 3">
          <a:extLst>
            <a:ext uri="{FF2B5EF4-FFF2-40B4-BE49-F238E27FC236}">
              <a16:creationId xmlns:a16="http://schemas.microsoft.com/office/drawing/2014/main" id="{43061119-7BF6-4AF3-B4E8-B00619BF56A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79" name="Text 3">
          <a:extLst>
            <a:ext uri="{FF2B5EF4-FFF2-40B4-BE49-F238E27FC236}">
              <a16:creationId xmlns:a16="http://schemas.microsoft.com/office/drawing/2014/main" id="{3EC6ACBD-7B57-4F9F-ABA5-83C22A88976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80" name="Text 3">
          <a:extLst>
            <a:ext uri="{FF2B5EF4-FFF2-40B4-BE49-F238E27FC236}">
              <a16:creationId xmlns:a16="http://schemas.microsoft.com/office/drawing/2014/main" id="{81E0123E-EA02-459B-8413-06A12637C20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81" name="Text 3">
          <a:extLst>
            <a:ext uri="{FF2B5EF4-FFF2-40B4-BE49-F238E27FC236}">
              <a16:creationId xmlns:a16="http://schemas.microsoft.com/office/drawing/2014/main" id="{2C0F8B18-C696-4BB2-9BE6-9C4D9A2F76E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82" name="Text 3">
          <a:extLst>
            <a:ext uri="{FF2B5EF4-FFF2-40B4-BE49-F238E27FC236}">
              <a16:creationId xmlns:a16="http://schemas.microsoft.com/office/drawing/2014/main" id="{2862A72A-C4ED-4CD7-BDD4-DBC7DF4C5C7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83" name="Text 3">
          <a:extLst>
            <a:ext uri="{FF2B5EF4-FFF2-40B4-BE49-F238E27FC236}">
              <a16:creationId xmlns:a16="http://schemas.microsoft.com/office/drawing/2014/main" id="{AE54DDD6-A64B-47D2-A0A4-39656CF15FE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84" name="Text 3">
          <a:extLst>
            <a:ext uri="{FF2B5EF4-FFF2-40B4-BE49-F238E27FC236}">
              <a16:creationId xmlns:a16="http://schemas.microsoft.com/office/drawing/2014/main" id="{737C8678-5BCC-4983-882C-4F96C348B3C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85" name="Text 3">
          <a:extLst>
            <a:ext uri="{FF2B5EF4-FFF2-40B4-BE49-F238E27FC236}">
              <a16:creationId xmlns:a16="http://schemas.microsoft.com/office/drawing/2014/main" id="{715BC963-0548-43FE-A87B-6B213DF4E5B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86" name="Text 3">
          <a:extLst>
            <a:ext uri="{FF2B5EF4-FFF2-40B4-BE49-F238E27FC236}">
              <a16:creationId xmlns:a16="http://schemas.microsoft.com/office/drawing/2014/main" id="{0E5A5AE7-EA69-4D6F-A780-E2354A6B6DF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87" name="Text 3">
          <a:extLst>
            <a:ext uri="{FF2B5EF4-FFF2-40B4-BE49-F238E27FC236}">
              <a16:creationId xmlns:a16="http://schemas.microsoft.com/office/drawing/2014/main" id="{CC06E16F-538F-4495-8677-C3A9476C549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88" name="Text 3">
          <a:extLst>
            <a:ext uri="{FF2B5EF4-FFF2-40B4-BE49-F238E27FC236}">
              <a16:creationId xmlns:a16="http://schemas.microsoft.com/office/drawing/2014/main" id="{AC593322-FD19-4C62-9DF1-2BA9BC106F0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89" name="Text 3">
          <a:extLst>
            <a:ext uri="{FF2B5EF4-FFF2-40B4-BE49-F238E27FC236}">
              <a16:creationId xmlns:a16="http://schemas.microsoft.com/office/drawing/2014/main" id="{8BA21423-B28E-4DCB-9F31-BCDE15F1376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90" name="Text 3">
          <a:extLst>
            <a:ext uri="{FF2B5EF4-FFF2-40B4-BE49-F238E27FC236}">
              <a16:creationId xmlns:a16="http://schemas.microsoft.com/office/drawing/2014/main" id="{2836C24F-3655-44D8-93F3-57EADBE23BD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91" name="Text 3">
          <a:extLst>
            <a:ext uri="{FF2B5EF4-FFF2-40B4-BE49-F238E27FC236}">
              <a16:creationId xmlns:a16="http://schemas.microsoft.com/office/drawing/2014/main" id="{D385AB84-FEC0-4EA2-99C9-D0C4F38483D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92" name="Text 3">
          <a:extLst>
            <a:ext uri="{FF2B5EF4-FFF2-40B4-BE49-F238E27FC236}">
              <a16:creationId xmlns:a16="http://schemas.microsoft.com/office/drawing/2014/main" id="{6B3010BB-E65A-47BD-9774-E95C26E7BD5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93" name="Text 3">
          <a:extLst>
            <a:ext uri="{FF2B5EF4-FFF2-40B4-BE49-F238E27FC236}">
              <a16:creationId xmlns:a16="http://schemas.microsoft.com/office/drawing/2014/main" id="{7BCF4DAD-677D-4A07-A3BF-DEB142E5CF5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94" name="Text 3">
          <a:extLst>
            <a:ext uri="{FF2B5EF4-FFF2-40B4-BE49-F238E27FC236}">
              <a16:creationId xmlns:a16="http://schemas.microsoft.com/office/drawing/2014/main" id="{866D2C0F-44BC-4CA7-AEB8-C38A2C4EAEB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95" name="Text 3">
          <a:extLst>
            <a:ext uri="{FF2B5EF4-FFF2-40B4-BE49-F238E27FC236}">
              <a16:creationId xmlns:a16="http://schemas.microsoft.com/office/drawing/2014/main" id="{4341B903-906B-4203-B892-55D69C5C6E7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96" name="Text 3">
          <a:extLst>
            <a:ext uri="{FF2B5EF4-FFF2-40B4-BE49-F238E27FC236}">
              <a16:creationId xmlns:a16="http://schemas.microsoft.com/office/drawing/2014/main" id="{7EFC480D-BFA4-4CDB-B2E1-A8AC11FDDC2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397" name="Text 3">
          <a:extLst>
            <a:ext uri="{FF2B5EF4-FFF2-40B4-BE49-F238E27FC236}">
              <a16:creationId xmlns:a16="http://schemas.microsoft.com/office/drawing/2014/main" id="{984C5D5F-91D6-4141-A63D-848DFFE6BB7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398" name="Text 3">
          <a:extLst>
            <a:ext uri="{FF2B5EF4-FFF2-40B4-BE49-F238E27FC236}">
              <a16:creationId xmlns:a16="http://schemas.microsoft.com/office/drawing/2014/main" id="{F6C45E83-1774-4807-B3A1-A01B3062320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399" name="Text 3">
          <a:extLst>
            <a:ext uri="{FF2B5EF4-FFF2-40B4-BE49-F238E27FC236}">
              <a16:creationId xmlns:a16="http://schemas.microsoft.com/office/drawing/2014/main" id="{FFF93429-7F14-42A8-AAF8-564EEBDBCE2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00" name="Text 3">
          <a:extLst>
            <a:ext uri="{FF2B5EF4-FFF2-40B4-BE49-F238E27FC236}">
              <a16:creationId xmlns:a16="http://schemas.microsoft.com/office/drawing/2014/main" id="{EA83C945-782F-471D-B95C-0B37BFB841C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01" name="Text 3">
          <a:extLst>
            <a:ext uri="{FF2B5EF4-FFF2-40B4-BE49-F238E27FC236}">
              <a16:creationId xmlns:a16="http://schemas.microsoft.com/office/drawing/2014/main" id="{846A4EFD-F3F8-4662-8F6B-44AD22D404B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02" name="Text 3">
          <a:extLst>
            <a:ext uri="{FF2B5EF4-FFF2-40B4-BE49-F238E27FC236}">
              <a16:creationId xmlns:a16="http://schemas.microsoft.com/office/drawing/2014/main" id="{FB321B98-AD58-459D-AAF2-8A49D4CA94E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03" name="Text 3">
          <a:extLst>
            <a:ext uri="{FF2B5EF4-FFF2-40B4-BE49-F238E27FC236}">
              <a16:creationId xmlns:a16="http://schemas.microsoft.com/office/drawing/2014/main" id="{97DB48F6-326A-4A96-A603-4755F4A17E7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04" name="Text 3">
          <a:extLst>
            <a:ext uri="{FF2B5EF4-FFF2-40B4-BE49-F238E27FC236}">
              <a16:creationId xmlns:a16="http://schemas.microsoft.com/office/drawing/2014/main" id="{D290A1C6-DF85-4B26-A103-2DA76E405CB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05" name="Text 3">
          <a:extLst>
            <a:ext uri="{FF2B5EF4-FFF2-40B4-BE49-F238E27FC236}">
              <a16:creationId xmlns:a16="http://schemas.microsoft.com/office/drawing/2014/main" id="{F8E6941D-47EF-400A-9C00-B2FBAF5DBB6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06" name="Text 3">
          <a:extLst>
            <a:ext uri="{FF2B5EF4-FFF2-40B4-BE49-F238E27FC236}">
              <a16:creationId xmlns:a16="http://schemas.microsoft.com/office/drawing/2014/main" id="{E66B89A5-8FA3-4250-81C6-4AA0F52354C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07" name="Text 3">
          <a:extLst>
            <a:ext uri="{FF2B5EF4-FFF2-40B4-BE49-F238E27FC236}">
              <a16:creationId xmlns:a16="http://schemas.microsoft.com/office/drawing/2014/main" id="{E68EDF19-D1D1-48EA-9151-7FB7F4B6AD8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08" name="Text 3">
          <a:extLst>
            <a:ext uri="{FF2B5EF4-FFF2-40B4-BE49-F238E27FC236}">
              <a16:creationId xmlns:a16="http://schemas.microsoft.com/office/drawing/2014/main" id="{DA062CAB-1A6D-4F14-969D-4FB972CA03D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09" name="Text 3">
          <a:extLst>
            <a:ext uri="{FF2B5EF4-FFF2-40B4-BE49-F238E27FC236}">
              <a16:creationId xmlns:a16="http://schemas.microsoft.com/office/drawing/2014/main" id="{E883BE11-CAE6-4D69-9D7D-16F6B1435C5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10" name="Text 3">
          <a:extLst>
            <a:ext uri="{FF2B5EF4-FFF2-40B4-BE49-F238E27FC236}">
              <a16:creationId xmlns:a16="http://schemas.microsoft.com/office/drawing/2014/main" id="{44DE43A5-096A-482F-AD8E-154AE2043BD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11" name="Text 3">
          <a:extLst>
            <a:ext uri="{FF2B5EF4-FFF2-40B4-BE49-F238E27FC236}">
              <a16:creationId xmlns:a16="http://schemas.microsoft.com/office/drawing/2014/main" id="{11416E56-D50E-4681-AEFA-E807EA24A39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12" name="Text 3">
          <a:extLst>
            <a:ext uri="{FF2B5EF4-FFF2-40B4-BE49-F238E27FC236}">
              <a16:creationId xmlns:a16="http://schemas.microsoft.com/office/drawing/2014/main" id="{33CFCDA3-CE8A-4002-BC10-1CEC62C5050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13" name="Text 3">
          <a:extLst>
            <a:ext uri="{FF2B5EF4-FFF2-40B4-BE49-F238E27FC236}">
              <a16:creationId xmlns:a16="http://schemas.microsoft.com/office/drawing/2014/main" id="{21051CE5-FE71-41D0-8E3E-0C627A91583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14" name="Text 3">
          <a:extLst>
            <a:ext uri="{FF2B5EF4-FFF2-40B4-BE49-F238E27FC236}">
              <a16:creationId xmlns:a16="http://schemas.microsoft.com/office/drawing/2014/main" id="{5C443D16-7C6B-48AF-84DD-AA5850B5304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15" name="Text 3">
          <a:extLst>
            <a:ext uri="{FF2B5EF4-FFF2-40B4-BE49-F238E27FC236}">
              <a16:creationId xmlns:a16="http://schemas.microsoft.com/office/drawing/2014/main" id="{59B50851-7DF4-4EB0-933F-0174FA6CEB0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16" name="Text 3">
          <a:extLst>
            <a:ext uri="{FF2B5EF4-FFF2-40B4-BE49-F238E27FC236}">
              <a16:creationId xmlns:a16="http://schemas.microsoft.com/office/drawing/2014/main" id="{5FDB9C9B-B318-4359-B378-B1694BAA7D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17" name="Text 3">
          <a:extLst>
            <a:ext uri="{FF2B5EF4-FFF2-40B4-BE49-F238E27FC236}">
              <a16:creationId xmlns:a16="http://schemas.microsoft.com/office/drawing/2014/main" id="{4B407B18-4023-4FA5-BF85-70CA7613B97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18" name="Text 3">
          <a:extLst>
            <a:ext uri="{FF2B5EF4-FFF2-40B4-BE49-F238E27FC236}">
              <a16:creationId xmlns:a16="http://schemas.microsoft.com/office/drawing/2014/main" id="{A3B07E83-D3F0-43A5-9914-70DD71B638E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19" name="Text 3">
          <a:extLst>
            <a:ext uri="{FF2B5EF4-FFF2-40B4-BE49-F238E27FC236}">
              <a16:creationId xmlns:a16="http://schemas.microsoft.com/office/drawing/2014/main" id="{51620FF6-A3FE-415D-92FA-E20A254C84D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20" name="Text 3">
          <a:extLst>
            <a:ext uri="{FF2B5EF4-FFF2-40B4-BE49-F238E27FC236}">
              <a16:creationId xmlns:a16="http://schemas.microsoft.com/office/drawing/2014/main" id="{F488CBCF-3430-43D4-9825-533A6287B13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21" name="Text 3">
          <a:extLst>
            <a:ext uri="{FF2B5EF4-FFF2-40B4-BE49-F238E27FC236}">
              <a16:creationId xmlns:a16="http://schemas.microsoft.com/office/drawing/2014/main" id="{9CBFAA8B-121D-4F61-8FD6-0F319AA14FF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22" name="Text 3">
          <a:extLst>
            <a:ext uri="{FF2B5EF4-FFF2-40B4-BE49-F238E27FC236}">
              <a16:creationId xmlns:a16="http://schemas.microsoft.com/office/drawing/2014/main" id="{15CE2C91-CF52-4D9A-A988-9112DB8BEAB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23" name="Text 3">
          <a:extLst>
            <a:ext uri="{FF2B5EF4-FFF2-40B4-BE49-F238E27FC236}">
              <a16:creationId xmlns:a16="http://schemas.microsoft.com/office/drawing/2014/main" id="{B7CA78D4-C4E8-45B0-B895-66C3C905AE6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24" name="Text 3">
          <a:extLst>
            <a:ext uri="{FF2B5EF4-FFF2-40B4-BE49-F238E27FC236}">
              <a16:creationId xmlns:a16="http://schemas.microsoft.com/office/drawing/2014/main" id="{83DAEF4E-8711-4DC2-94CE-71A495E5E57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25" name="Text 3">
          <a:extLst>
            <a:ext uri="{FF2B5EF4-FFF2-40B4-BE49-F238E27FC236}">
              <a16:creationId xmlns:a16="http://schemas.microsoft.com/office/drawing/2014/main" id="{9FF241DE-C276-4275-B948-89B2B152D21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26" name="Text 3">
          <a:extLst>
            <a:ext uri="{FF2B5EF4-FFF2-40B4-BE49-F238E27FC236}">
              <a16:creationId xmlns:a16="http://schemas.microsoft.com/office/drawing/2014/main" id="{AC31874E-7CEC-42E3-A977-898C5451256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27" name="Text 3">
          <a:extLst>
            <a:ext uri="{FF2B5EF4-FFF2-40B4-BE49-F238E27FC236}">
              <a16:creationId xmlns:a16="http://schemas.microsoft.com/office/drawing/2014/main" id="{B55896E4-F72C-4869-B50B-B33950ADDBE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28" name="Text 3">
          <a:extLst>
            <a:ext uri="{FF2B5EF4-FFF2-40B4-BE49-F238E27FC236}">
              <a16:creationId xmlns:a16="http://schemas.microsoft.com/office/drawing/2014/main" id="{6BEB0844-5215-4DCF-9C24-D71DF4BD77A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29" name="Text 3">
          <a:extLst>
            <a:ext uri="{FF2B5EF4-FFF2-40B4-BE49-F238E27FC236}">
              <a16:creationId xmlns:a16="http://schemas.microsoft.com/office/drawing/2014/main" id="{63F4DD92-20EB-4D46-8465-8353FE20883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30" name="Text 3">
          <a:extLst>
            <a:ext uri="{FF2B5EF4-FFF2-40B4-BE49-F238E27FC236}">
              <a16:creationId xmlns:a16="http://schemas.microsoft.com/office/drawing/2014/main" id="{C11A6B6A-CA81-4EF4-81F0-F62FA5579F5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31" name="Text 3">
          <a:extLst>
            <a:ext uri="{FF2B5EF4-FFF2-40B4-BE49-F238E27FC236}">
              <a16:creationId xmlns:a16="http://schemas.microsoft.com/office/drawing/2014/main" id="{61D88AE4-24AB-48AD-897C-D339AE2817C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32" name="Text 3">
          <a:extLst>
            <a:ext uri="{FF2B5EF4-FFF2-40B4-BE49-F238E27FC236}">
              <a16:creationId xmlns:a16="http://schemas.microsoft.com/office/drawing/2014/main" id="{9C6EA77E-7771-4923-95AC-5EB4617D932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33" name="Text 3">
          <a:extLst>
            <a:ext uri="{FF2B5EF4-FFF2-40B4-BE49-F238E27FC236}">
              <a16:creationId xmlns:a16="http://schemas.microsoft.com/office/drawing/2014/main" id="{BF747247-AD9B-497C-A716-550F95889D3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34" name="Text 3">
          <a:extLst>
            <a:ext uri="{FF2B5EF4-FFF2-40B4-BE49-F238E27FC236}">
              <a16:creationId xmlns:a16="http://schemas.microsoft.com/office/drawing/2014/main" id="{4257707D-3B32-464D-926E-F9EE9D3942F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35" name="Text 3">
          <a:extLst>
            <a:ext uri="{FF2B5EF4-FFF2-40B4-BE49-F238E27FC236}">
              <a16:creationId xmlns:a16="http://schemas.microsoft.com/office/drawing/2014/main" id="{5F96B669-A48B-4C14-A8DF-06CDE1E6D96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36" name="Text 3">
          <a:extLst>
            <a:ext uri="{FF2B5EF4-FFF2-40B4-BE49-F238E27FC236}">
              <a16:creationId xmlns:a16="http://schemas.microsoft.com/office/drawing/2014/main" id="{91AF61C7-A8FE-4A4E-873B-FFC33BC044E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37" name="Text 3">
          <a:extLst>
            <a:ext uri="{FF2B5EF4-FFF2-40B4-BE49-F238E27FC236}">
              <a16:creationId xmlns:a16="http://schemas.microsoft.com/office/drawing/2014/main" id="{976EBA4E-7819-4842-BFBD-1E0425117AF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38" name="Text 3">
          <a:extLst>
            <a:ext uri="{FF2B5EF4-FFF2-40B4-BE49-F238E27FC236}">
              <a16:creationId xmlns:a16="http://schemas.microsoft.com/office/drawing/2014/main" id="{8E84CC34-EFA2-48F6-969D-D2645E122BD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39" name="Text 3">
          <a:extLst>
            <a:ext uri="{FF2B5EF4-FFF2-40B4-BE49-F238E27FC236}">
              <a16:creationId xmlns:a16="http://schemas.microsoft.com/office/drawing/2014/main" id="{3FE4F5DE-8BC0-4C1A-BD91-DBDCA887975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40" name="Text 3">
          <a:extLst>
            <a:ext uri="{FF2B5EF4-FFF2-40B4-BE49-F238E27FC236}">
              <a16:creationId xmlns:a16="http://schemas.microsoft.com/office/drawing/2014/main" id="{8993D976-24AF-4C42-87BA-DD0B696CF7D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41" name="Text 3">
          <a:extLst>
            <a:ext uri="{FF2B5EF4-FFF2-40B4-BE49-F238E27FC236}">
              <a16:creationId xmlns:a16="http://schemas.microsoft.com/office/drawing/2014/main" id="{899C45FE-3893-49E2-9464-9DB5D214AEF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42" name="Text 3">
          <a:extLst>
            <a:ext uri="{FF2B5EF4-FFF2-40B4-BE49-F238E27FC236}">
              <a16:creationId xmlns:a16="http://schemas.microsoft.com/office/drawing/2014/main" id="{0D9AE47E-C030-4330-8CDC-E351527A494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43" name="Text 3">
          <a:extLst>
            <a:ext uri="{FF2B5EF4-FFF2-40B4-BE49-F238E27FC236}">
              <a16:creationId xmlns:a16="http://schemas.microsoft.com/office/drawing/2014/main" id="{28FFA90C-7072-4012-ABAA-2D396D7F6B0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44" name="Text 3">
          <a:extLst>
            <a:ext uri="{FF2B5EF4-FFF2-40B4-BE49-F238E27FC236}">
              <a16:creationId xmlns:a16="http://schemas.microsoft.com/office/drawing/2014/main" id="{D08571E7-DBC7-43AA-AC63-4919088DA5C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45" name="Text 3">
          <a:extLst>
            <a:ext uri="{FF2B5EF4-FFF2-40B4-BE49-F238E27FC236}">
              <a16:creationId xmlns:a16="http://schemas.microsoft.com/office/drawing/2014/main" id="{3E04F3F8-2C7F-45BB-8E36-F99DA3D43D6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46" name="Text 3">
          <a:extLst>
            <a:ext uri="{FF2B5EF4-FFF2-40B4-BE49-F238E27FC236}">
              <a16:creationId xmlns:a16="http://schemas.microsoft.com/office/drawing/2014/main" id="{B6447D08-C4B7-45BA-B0AB-A90DF236DDD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47" name="Text 3">
          <a:extLst>
            <a:ext uri="{FF2B5EF4-FFF2-40B4-BE49-F238E27FC236}">
              <a16:creationId xmlns:a16="http://schemas.microsoft.com/office/drawing/2014/main" id="{022EE67C-CC5A-4A6C-B607-1673E3EC41B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48" name="Text 3">
          <a:extLst>
            <a:ext uri="{FF2B5EF4-FFF2-40B4-BE49-F238E27FC236}">
              <a16:creationId xmlns:a16="http://schemas.microsoft.com/office/drawing/2014/main" id="{CD530EDB-95D8-476A-BE29-6261F61A968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49" name="Text 3">
          <a:extLst>
            <a:ext uri="{FF2B5EF4-FFF2-40B4-BE49-F238E27FC236}">
              <a16:creationId xmlns:a16="http://schemas.microsoft.com/office/drawing/2014/main" id="{25944C87-6610-4B0C-8435-31CBC63B844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50" name="Text 3">
          <a:extLst>
            <a:ext uri="{FF2B5EF4-FFF2-40B4-BE49-F238E27FC236}">
              <a16:creationId xmlns:a16="http://schemas.microsoft.com/office/drawing/2014/main" id="{D3FB22D3-595B-4805-9007-AE01BF53B84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51" name="Text 3">
          <a:extLst>
            <a:ext uri="{FF2B5EF4-FFF2-40B4-BE49-F238E27FC236}">
              <a16:creationId xmlns:a16="http://schemas.microsoft.com/office/drawing/2014/main" id="{54434D05-8654-4A62-B061-FA867C91E43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52" name="Text 3">
          <a:extLst>
            <a:ext uri="{FF2B5EF4-FFF2-40B4-BE49-F238E27FC236}">
              <a16:creationId xmlns:a16="http://schemas.microsoft.com/office/drawing/2014/main" id="{0DA7DEAF-9E31-4183-9953-D61EB7AF213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53" name="Text 3">
          <a:extLst>
            <a:ext uri="{FF2B5EF4-FFF2-40B4-BE49-F238E27FC236}">
              <a16:creationId xmlns:a16="http://schemas.microsoft.com/office/drawing/2014/main" id="{DD7E692C-EF13-476B-8FBC-C6A41544B6C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54" name="Text 3">
          <a:extLst>
            <a:ext uri="{FF2B5EF4-FFF2-40B4-BE49-F238E27FC236}">
              <a16:creationId xmlns:a16="http://schemas.microsoft.com/office/drawing/2014/main" id="{9F2AD33A-1510-48CB-99CE-FF20AE6B74A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55" name="Text 3">
          <a:extLst>
            <a:ext uri="{FF2B5EF4-FFF2-40B4-BE49-F238E27FC236}">
              <a16:creationId xmlns:a16="http://schemas.microsoft.com/office/drawing/2014/main" id="{2FB99D16-DCF2-4489-AF61-2D2367D766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56" name="Text 3">
          <a:extLst>
            <a:ext uri="{FF2B5EF4-FFF2-40B4-BE49-F238E27FC236}">
              <a16:creationId xmlns:a16="http://schemas.microsoft.com/office/drawing/2014/main" id="{026A907F-EB9F-4357-B680-7A96A84121B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57" name="Text 3">
          <a:extLst>
            <a:ext uri="{FF2B5EF4-FFF2-40B4-BE49-F238E27FC236}">
              <a16:creationId xmlns:a16="http://schemas.microsoft.com/office/drawing/2014/main" id="{0EC59CDE-E7E6-4363-B2F4-D83326BBE70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58" name="Text 3">
          <a:extLst>
            <a:ext uri="{FF2B5EF4-FFF2-40B4-BE49-F238E27FC236}">
              <a16:creationId xmlns:a16="http://schemas.microsoft.com/office/drawing/2014/main" id="{B35691D5-BFEA-4BF4-BC76-14EFBF9288C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59" name="Text 3">
          <a:extLst>
            <a:ext uri="{FF2B5EF4-FFF2-40B4-BE49-F238E27FC236}">
              <a16:creationId xmlns:a16="http://schemas.microsoft.com/office/drawing/2014/main" id="{92F6DC60-ABC9-4243-B320-F3822CCEFA6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60" name="Text 3">
          <a:extLst>
            <a:ext uri="{FF2B5EF4-FFF2-40B4-BE49-F238E27FC236}">
              <a16:creationId xmlns:a16="http://schemas.microsoft.com/office/drawing/2014/main" id="{D169103D-7DC1-484A-86F8-50E2BE56A0B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61" name="Text 3">
          <a:extLst>
            <a:ext uri="{FF2B5EF4-FFF2-40B4-BE49-F238E27FC236}">
              <a16:creationId xmlns:a16="http://schemas.microsoft.com/office/drawing/2014/main" id="{424539AB-D6DC-49C3-83A5-1C94E5C567E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62" name="Text 3">
          <a:extLst>
            <a:ext uri="{FF2B5EF4-FFF2-40B4-BE49-F238E27FC236}">
              <a16:creationId xmlns:a16="http://schemas.microsoft.com/office/drawing/2014/main" id="{A803DB59-0A49-43BF-A711-C392A3BF0AA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63" name="Text 3">
          <a:extLst>
            <a:ext uri="{FF2B5EF4-FFF2-40B4-BE49-F238E27FC236}">
              <a16:creationId xmlns:a16="http://schemas.microsoft.com/office/drawing/2014/main" id="{B4811D91-142F-4E0E-BBB5-9D7650F3993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64" name="Text 3">
          <a:extLst>
            <a:ext uri="{FF2B5EF4-FFF2-40B4-BE49-F238E27FC236}">
              <a16:creationId xmlns:a16="http://schemas.microsoft.com/office/drawing/2014/main" id="{05C81304-6657-4BF8-BF76-3A5AC1BB167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65" name="Text 3">
          <a:extLst>
            <a:ext uri="{FF2B5EF4-FFF2-40B4-BE49-F238E27FC236}">
              <a16:creationId xmlns:a16="http://schemas.microsoft.com/office/drawing/2014/main" id="{99F3F072-C897-457E-983D-FF1FE4A942A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66" name="Text 3">
          <a:extLst>
            <a:ext uri="{FF2B5EF4-FFF2-40B4-BE49-F238E27FC236}">
              <a16:creationId xmlns:a16="http://schemas.microsoft.com/office/drawing/2014/main" id="{2AB5B53C-EE90-45DF-BFAF-A818D529BCC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67" name="Text 3">
          <a:extLst>
            <a:ext uri="{FF2B5EF4-FFF2-40B4-BE49-F238E27FC236}">
              <a16:creationId xmlns:a16="http://schemas.microsoft.com/office/drawing/2014/main" id="{CA145EFF-DFD7-41EE-B18C-2E4C8189409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68" name="Text 3">
          <a:extLst>
            <a:ext uri="{FF2B5EF4-FFF2-40B4-BE49-F238E27FC236}">
              <a16:creationId xmlns:a16="http://schemas.microsoft.com/office/drawing/2014/main" id="{4D347BAC-CDDE-46DE-8289-5554B6329C7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69" name="Text 3">
          <a:extLst>
            <a:ext uri="{FF2B5EF4-FFF2-40B4-BE49-F238E27FC236}">
              <a16:creationId xmlns:a16="http://schemas.microsoft.com/office/drawing/2014/main" id="{F9E9F5D2-BA7D-4B01-8B56-BC97031FCA2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70" name="Text 3">
          <a:extLst>
            <a:ext uri="{FF2B5EF4-FFF2-40B4-BE49-F238E27FC236}">
              <a16:creationId xmlns:a16="http://schemas.microsoft.com/office/drawing/2014/main" id="{CB1DF804-984C-47E5-9F74-A1B2AF0D36C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71" name="Text 3">
          <a:extLst>
            <a:ext uri="{FF2B5EF4-FFF2-40B4-BE49-F238E27FC236}">
              <a16:creationId xmlns:a16="http://schemas.microsoft.com/office/drawing/2014/main" id="{6BF8F17F-FE21-4550-809C-C89637510EF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72" name="Text 3">
          <a:extLst>
            <a:ext uri="{FF2B5EF4-FFF2-40B4-BE49-F238E27FC236}">
              <a16:creationId xmlns:a16="http://schemas.microsoft.com/office/drawing/2014/main" id="{A684776E-66E6-4680-850A-E0FB07E5098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73" name="Text 3">
          <a:extLst>
            <a:ext uri="{FF2B5EF4-FFF2-40B4-BE49-F238E27FC236}">
              <a16:creationId xmlns:a16="http://schemas.microsoft.com/office/drawing/2014/main" id="{E6A35218-E490-4EB3-B748-A7637FF32EA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74" name="Text 3">
          <a:extLst>
            <a:ext uri="{FF2B5EF4-FFF2-40B4-BE49-F238E27FC236}">
              <a16:creationId xmlns:a16="http://schemas.microsoft.com/office/drawing/2014/main" id="{4595C7D8-ED2F-4439-842C-1314F4396A2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75" name="Text 3">
          <a:extLst>
            <a:ext uri="{FF2B5EF4-FFF2-40B4-BE49-F238E27FC236}">
              <a16:creationId xmlns:a16="http://schemas.microsoft.com/office/drawing/2014/main" id="{1A0D36F3-4774-49BA-A29B-73458623731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76" name="Text 3">
          <a:extLst>
            <a:ext uri="{FF2B5EF4-FFF2-40B4-BE49-F238E27FC236}">
              <a16:creationId xmlns:a16="http://schemas.microsoft.com/office/drawing/2014/main" id="{5F031227-52DC-405A-A82C-BC0C906DD1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77" name="Text 3">
          <a:extLst>
            <a:ext uri="{FF2B5EF4-FFF2-40B4-BE49-F238E27FC236}">
              <a16:creationId xmlns:a16="http://schemas.microsoft.com/office/drawing/2014/main" id="{814CAD13-8204-40A6-AE5B-D7F4728E70E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78" name="Text 3">
          <a:extLst>
            <a:ext uri="{FF2B5EF4-FFF2-40B4-BE49-F238E27FC236}">
              <a16:creationId xmlns:a16="http://schemas.microsoft.com/office/drawing/2014/main" id="{2008FD3C-D134-4399-B072-E58998E659F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79" name="Text 3">
          <a:extLst>
            <a:ext uri="{FF2B5EF4-FFF2-40B4-BE49-F238E27FC236}">
              <a16:creationId xmlns:a16="http://schemas.microsoft.com/office/drawing/2014/main" id="{6A1A8A3B-41C5-4AD0-8E96-BBD4DBC92FD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80" name="Text 3">
          <a:extLst>
            <a:ext uri="{FF2B5EF4-FFF2-40B4-BE49-F238E27FC236}">
              <a16:creationId xmlns:a16="http://schemas.microsoft.com/office/drawing/2014/main" id="{43767B94-0EA3-47CC-A93A-7DF1542BAD0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81" name="Text 3">
          <a:extLst>
            <a:ext uri="{FF2B5EF4-FFF2-40B4-BE49-F238E27FC236}">
              <a16:creationId xmlns:a16="http://schemas.microsoft.com/office/drawing/2014/main" id="{2B234CD6-AFAA-4A1E-89DF-5A0B5E20689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82" name="Text 3">
          <a:extLst>
            <a:ext uri="{FF2B5EF4-FFF2-40B4-BE49-F238E27FC236}">
              <a16:creationId xmlns:a16="http://schemas.microsoft.com/office/drawing/2014/main" id="{4B50E6BC-1FC6-4125-A9E6-28BB034FC88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83" name="Text 3">
          <a:extLst>
            <a:ext uri="{FF2B5EF4-FFF2-40B4-BE49-F238E27FC236}">
              <a16:creationId xmlns:a16="http://schemas.microsoft.com/office/drawing/2014/main" id="{3B7085E6-A965-42B6-8C73-8D1BE8734ED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84" name="Text 3">
          <a:extLst>
            <a:ext uri="{FF2B5EF4-FFF2-40B4-BE49-F238E27FC236}">
              <a16:creationId xmlns:a16="http://schemas.microsoft.com/office/drawing/2014/main" id="{95857587-FB31-4B83-8B83-A5A1B6CBF96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85" name="Text 3">
          <a:extLst>
            <a:ext uri="{FF2B5EF4-FFF2-40B4-BE49-F238E27FC236}">
              <a16:creationId xmlns:a16="http://schemas.microsoft.com/office/drawing/2014/main" id="{C4DDDE40-DCAA-442F-9B7C-1534CE12D6F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86" name="Text 3">
          <a:extLst>
            <a:ext uri="{FF2B5EF4-FFF2-40B4-BE49-F238E27FC236}">
              <a16:creationId xmlns:a16="http://schemas.microsoft.com/office/drawing/2014/main" id="{0D488207-1C7E-4B71-AFEB-AFF42B6A9A6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87" name="Text 3">
          <a:extLst>
            <a:ext uri="{FF2B5EF4-FFF2-40B4-BE49-F238E27FC236}">
              <a16:creationId xmlns:a16="http://schemas.microsoft.com/office/drawing/2014/main" id="{7D1CDBEF-1C97-4369-8C42-463BE6B9B65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88" name="Text 3">
          <a:extLst>
            <a:ext uri="{FF2B5EF4-FFF2-40B4-BE49-F238E27FC236}">
              <a16:creationId xmlns:a16="http://schemas.microsoft.com/office/drawing/2014/main" id="{7FA95EB4-FFA2-4FF2-A103-F2D57874352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89" name="Text 3">
          <a:extLst>
            <a:ext uri="{FF2B5EF4-FFF2-40B4-BE49-F238E27FC236}">
              <a16:creationId xmlns:a16="http://schemas.microsoft.com/office/drawing/2014/main" id="{3F9774FB-41C7-4109-A7C7-B5A879FB027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90" name="Text 3">
          <a:extLst>
            <a:ext uri="{FF2B5EF4-FFF2-40B4-BE49-F238E27FC236}">
              <a16:creationId xmlns:a16="http://schemas.microsoft.com/office/drawing/2014/main" id="{E1975E5D-84F2-4F6F-A595-7F777AE99E9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91" name="Text 3">
          <a:extLst>
            <a:ext uri="{FF2B5EF4-FFF2-40B4-BE49-F238E27FC236}">
              <a16:creationId xmlns:a16="http://schemas.microsoft.com/office/drawing/2014/main" id="{ACD2832D-0F43-4F50-BC7D-9925BAD0405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92" name="Text 3">
          <a:extLst>
            <a:ext uri="{FF2B5EF4-FFF2-40B4-BE49-F238E27FC236}">
              <a16:creationId xmlns:a16="http://schemas.microsoft.com/office/drawing/2014/main" id="{65C50F63-64CC-4468-9F14-6724D6DDC17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93" name="Text 3">
          <a:extLst>
            <a:ext uri="{FF2B5EF4-FFF2-40B4-BE49-F238E27FC236}">
              <a16:creationId xmlns:a16="http://schemas.microsoft.com/office/drawing/2014/main" id="{68BF7D47-B6D8-42B1-8811-01936C6AA5F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94" name="Text 3">
          <a:extLst>
            <a:ext uri="{FF2B5EF4-FFF2-40B4-BE49-F238E27FC236}">
              <a16:creationId xmlns:a16="http://schemas.microsoft.com/office/drawing/2014/main" id="{8D311F08-C89A-452D-951D-2885378057F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95" name="Text 3">
          <a:extLst>
            <a:ext uri="{FF2B5EF4-FFF2-40B4-BE49-F238E27FC236}">
              <a16:creationId xmlns:a16="http://schemas.microsoft.com/office/drawing/2014/main" id="{D1600A10-0DB8-4FE5-9ACD-F0FB26E7DC3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96" name="Text 3">
          <a:extLst>
            <a:ext uri="{FF2B5EF4-FFF2-40B4-BE49-F238E27FC236}">
              <a16:creationId xmlns:a16="http://schemas.microsoft.com/office/drawing/2014/main" id="{CFFA1B8A-700F-4A1F-A09B-F8F54E54821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497" name="Text 3">
          <a:extLst>
            <a:ext uri="{FF2B5EF4-FFF2-40B4-BE49-F238E27FC236}">
              <a16:creationId xmlns:a16="http://schemas.microsoft.com/office/drawing/2014/main" id="{8ADEBFA9-A132-438E-BF19-CF26404B85D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498" name="Text 3">
          <a:extLst>
            <a:ext uri="{FF2B5EF4-FFF2-40B4-BE49-F238E27FC236}">
              <a16:creationId xmlns:a16="http://schemas.microsoft.com/office/drawing/2014/main" id="{D0FFD0BA-FFE3-4CFA-8CE3-E405F7118DC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499" name="Text 3">
          <a:extLst>
            <a:ext uri="{FF2B5EF4-FFF2-40B4-BE49-F238E27FC236}">
              <a16:creationId xmlns:a16="http://schemas.microsoft.com/office/drawing/2014/main" id="{100C8DE9-D811-4F86-9978-A41557CF078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00" name="Text 3">
          <a:extLst>
            <a:ext uri="{FF2B5EF4-FFF2-40B4-BE49-F238E27FC236}">
              <a16:creationId xmlns:a16="http://schemas.microsoft.com/office/drawing/2014/main" id="{409D834E-268B-4710-A6F5-FD12056943C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01" name="Text 3">
          <a:extLst>
            <a:ext uri="{FF2B5EF4-FFF2-40B4-BE49-F238E27FC236}">
              <a16:creationId xmlns:a16="http://schemas.microsoft.com/office/drawing/2014/main" id="{A77CF8B1-EB0C-4F93-9786-042F8B52ADD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02" name="Text 3">
          <a:extLst>
            <a:ext uri="{FF2B5EF4-FFF2-40B4-BE49-F238E27FC236}">
              <a16:creationId xmlns:a16="http://schemas.microsoft.com/office/drawing/2014/main" id="{4353F39A-1012-4895-AABE-3E1735ACA8E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03" name="Text 3">
          <a:extLst>
            <a:ext uri="{FF2B5EF4-FFF2-40B4-BE49-F238E27FC236}">
              <a16:creationId xmlns:a16="http://schemas.microsoft.com/office/drawing/2014/main" id="{77E41BA6-DF50-4BF1-A75D-120CCB9D828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04" name="Text 3">
          <a:extLst>
            <a:ext uri="{FF2B5EF4-FFF2-40B4-BE49-F238E27FC236}">
              <a16:creationId xmlns:a16="http://schemas.microsoft.com/office/drawing/2014/main" id="{AB2D04D0-41D7-4AC4-876F-F891AFF5E13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05" name="Text 3">
          <a:extLst>
            <a:ext uri="{FF2B5EF4-FFF2-40B4-BE49-F238E27FC236}">
              <a16:creationId xmlns:a16="http://schemas.microsoft.com/office/drawing/2014/main" id="{3C694F9C-FA1A-4C9E-BBE3-49F95C8B75A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06" name="Text 3">
          <a:extLst>
            <a:ext uri="{FF2B5EF4-FFF2-40B4-BE49-F238E27FC236}">
              <a16:creationId xmlns:a16="http://schemas.microsoft.com/office/drawing/2014/main" id="{1597FC09-947D-460D-883D-EA6F0690F74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07" name="Text 3">
          <a:extLst>
            <a:ext uri="{FF2B5EF4-FFF2-40B4-BE49-F238E27FC236}">
              <a16:creationId xmlns:a16="http://schemas.microsoft.com/office/drawing/2014/main" id="{61F938DA-2040-4DD9-8E41-128BCCA535C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08" name="Text 3">
          <a:extLst>
            <a:ext uri="{FF2B5EF4-FFF2-40B4-BE49-F238E27FC236}">
              <a16:creationId xmlns:a16="http://schemas.microsoft.com/office/drawing/2014/main" id="{A328B505-B464-444F-BC5D-855094D1C9E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09" name="Text 3">
          <a:extLst>
            <a:ext uri="{FF2B5EF4-FFF2-40B4-BE49-F238E27FC236}">
              <a16:creationId xmlns:a16="http://schemas.microsoft.com/office/drawing/2014/main" id="{7D8B4B97-5813-4AAB-BE8B-C08403CA34B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10" name="Text 3">
          <a:extLst>
            <a:ext uri="{FF2B5EF4-FFF2-40B4-BE49-F238E27FC236}">
              <a16:creationId xmlns:a16="http://schemas.microsoft.com/office/drawing/2014/main" id="{07855141-514A-45F2-9EAB-5F0A23362BE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11" name="Text 3">
          <a:extLst>
            <a:ext uri="{FF2B5EF4-FFF2-40B4-BE49-F238E27FC236}">
              <a16:creationId xmlns:a16="http://schemas.microsoft.com/office/drawing/2014/main" id="{5C0DDB0A-6A53-4ACE-AE9E-2697F10F9B1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12" name="Text 3">
          <a:extLst>
            <a:ext uri="{FF2B5EF4-FFF2-40B4-BE49-F238E27FC236}">
              <a16:creationId xmlns:a16="http://schemas.microsoft.com/office/drawing/2014/main" id="{4A8CA65B-3161-4DCD-86F9-27373220E57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13" name="Text 3">
          <a:extLst>
            <a:ext uri="{FF2B5EF4-FFF2-40B4-BE49-F238E27FC236}">
              <a16:creationId xmlns:a16="http://schemas.microsoft.com/office/drawing/2014/main" id="{D99DDE65-58AF-4A95-9456-3D134309C70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14" name="Text 3">
          <a:extLst>
            <a:ext uri="{FF2B5EF4-FFF2-40B4-BE49-F238E27FC236}">
              <a16:creationId xmlns:a16="http://schemas.microsoft.com/office/drawing/2014/main" id="{C17FF283-4286-4B48-B390-76781A09CD0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15" name="Text 3">
          <a:extLst>
            <a:ext uri="{FF2B5EF4-FFF2-40B4-BE49-F238E27FC236}">
              <a16:creationId xmlns:a16="http://schemas.microsoft.com/office/drawing/2014/main" id="{C1952A7B-078D-4641-B466-7F947A7A859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16" name="Text 3">
          <a:extLst>
            <a:ext uri="{FF2B5EF4-FFF2-40B4-BE49-F238E27FC236}">
              <a16:creationId xmlns:a16="http://schemas.microsoft.com/office/drawing/2014/main" id="{A5C811BA-2A93-4FB2-84FB-92B8F42EDC7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17" name="Text 3">
          <a:extLst>
            <a:ext uri="{FF2B5EF4-FFF2-40B4-BE49-F238E27FC236}">
              <a16:creationId xmlns:a16="http://schemas.microsoft.com/office/drawing/2014/main" id="{4206A4E3-3A40-4108-BDA0-B5D8FF8858E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18" name="Text 3">
          <a:extLst>
            <a:ext uri="{FF2B5EF4-FFF2-40B4-BE49-F238E27FC236}">
              <a16:creationId xmlns:a16="http://schemas.microsoft.com/office/drawing/2014/main" id="{A975BF38-B9C5-4A2C-A573-59703D69835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19" name="Text 3">
          <a:extLst>
            <a:ext uri="{FF2B5EF4-FFF2-40B4-BE49-F238E27FC236}">
              <a16:creationId xmlns:a16="http://schemas.microsoft.com/office/drawing/2014/main" id="{A90526A9-B757-476D-8B98-2D9E496E404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20" name="Text 3">
          <a:extLst>
            <a:ext uri="{FF2B5EF4-FFF2-40B4-BE49-F238E27FC236}">
              <a16:creationId xmlns:a16="http://schemas.microsoft.com/office/drawing/2014/main" id="{7870F3D8-9C2C-41C6-9DE2-5133F36F434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21" name="Text 3">
          <a:extLst>
            <a:ext uri="{FF2B5EF4-FFF2-40B4-BE49-F238E27FC236}">
              <a16:creationId xmlns:a16="http://schemas.microsoft.com/office/drawing/2014/main" id="{56C41F7B-7DE2-42EE-8F23-221FB7E1417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22" name="Text 3">
          <a:extLst>
            <a:ext uri="{FF2B5EF4-FFF2-40B4-BE49-F238E27FC236}">
              <a16:creationId xmlns:a16="http://schemas.microsoft.com/office/drawing/2014/main" id="{C9A2A583-E01B-43FE-BA93-0C5EAD777FE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23" name="Text 3">
          <a:extLst>
            <a:ext uri="{FF2B5EF4-FFF2-40B4-BE49-F238E27FC236}">
              <a16:creationId xmlns:a16="http://schemas.microsoft.com/office/drawing/2014/main" id="{21F22A6B-4832-435F-AAA2-258BF9AB301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24" name="Text 3">
          <a:extLst>
            <a:ext uri="{FF2B5EF4-FFF2-40B4-BE49-F238E27FC236}">
              <a16:creationId xmlns:a16="http://schemas.microsoft.com/office/drawing/2014/main" id="{D53556EF-E8F5-4B93-84F6-7DCF63B14C5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25" name="Text 3">
          <a:extLst>
            <a:ext uri="{FF2B5EF4-FFF2-40B4-BE49-F238E27FC236}">
              <a16:creationId xmlns:a16="http://schemas.microsoft.com/office/drawing/2014/main" id="{11AF1AB0-704C-4A1C-84B9-9E9F3294788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26" name="Text 3">
          <a:extLst>
            <a:ext uri="{FF2B5EF4-FFF2-40B4-BE49-F238E27FC236}">
              <a16:creationId xmlns:a16="http://schemas.microsoft.com/office/drawing/2014/main" id="{9A23E303-FC2A-4425-B040-CC381A8940A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27" name="Text 3">
          <a:extLst>
            <a:ext uri="{FF2B5EF4-FFF2-40B4-BE49-F238E27FC236}">
              <a16:creationId xmlns:a16="http://schemas.microsoft.com/office/drawing/2014/main" id="{6BDB93DB-8E4B-4787-819C-4E6E4172F83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28" name="Text 3">
          <a:extLst>
            <a:ext uri="{FF2B5EF4-FFF2-40B4-BE49-F238E27FC236}">
              <a16:creationId xmlns:a16="http://schemas.microsoft.com/office/drawing/2014/main" id="{2314235C-FAE9-4AEB-A770-12C17BC4206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29" name="Text 3">
          <a:extLst>
            <a:ext uri="{FF2B5EF4-FFF2-40B4-BE49-F238E27FC236}">
              <a16:creationId xmlns:a16="http://schemas.microsoft.com/office/drawing/2014/main" id="{2C8D6724-2233-4989-A85A-9455259DE17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30" name="Text 3">
          <a:extLst>
            <a:ext uri="{FF2B5EF4-FFF2-40B4-BE49-F238E27FC236}">
              <a16:creationId xmlns:a16="http://schemas.microsoft.com/office/drawing/2014/main" id="{A65E8D86-13A4-4175-9D06-191EEDCCFC8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31" name="Text 3">
          <a:extLst>
            <a:ext uri="{FF2B5EF4-FFF2-40B4-BE49-F238E27FC236}">
              <a16:creationId xmlns:a16="http://schemas.microsoft.com/office/drawing/2014/main" id="{D6F5BC1D-AC28-4C33-8560-0885A3BC74B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32" name="Text 3">
          <a:extLst>
            <a:ext uri="{FF2B5EF4-FFF2-40B4-BE49-F238E27FC236}">
              <a16:creationId xmlns:a16="http://schemas.microsoft.com/office/drawing/2014/main" id="{BB19F3BA-6388-4CB3-B2BF-E3781130570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33" name="Text 3">
          <a:extLst>
            <a:ext uri="{FF2B5EF4-FFF2-40B4-BE49-F238E27FC236}">
              <a16:creationId xmlns:a16="http://schemas.microsoft.com/office/drawing/2014/main" id="{F5A3B372-4F40-453A-8A2E-F86FA1359B5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34" name="Text 3">
          <a:extLst>
            <a:ext uri="{FF2B5EF4-FFF2-40B4-BE49-F238E27FC236}">
              <a16:creationId xmlns:a16="http://schemas.microsoft.com/office/drawing/2014/main" id="{997356F8-0908-4C17-A19D-2F2EF022498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35" name="Text 3">
          <a:extLst>
            <a:ext uri="{FF2B5EF4-FFF2-40B4-BE49-F238E27FC236}">
              <a16:creationId xmlns:a16="http://schemas.microsoft.com/office/drawing/2014/main" id="{022BE99C-39AD-4EF2-BEC1-FB4463B8B85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36" name="Text 3">
          <a:extLst>
            <a:ext uri="{FF2B5EF4-FFF2-40B4-BE49-F238E27FC236}">
              <a16:creationId xmlns:a16="http://schemas.microsoft.com/office/drawing/2014/main" id="{E7733E8C-2089-449E-8252-E6EB6A26FC4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37" name="Text 3">
          <a:extLst>
            <a:ext uri="{FF2B5EF4-FFF2-40B4-BE49-F238E27FC236}">
              <a16:creationId xmlns:a16="http://schemas.microsoft.com/office/drawing/2014/main" id="{E721494B-55F5-4365-A700-944508E94EF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38" name="Text 3">
          <a:extLst>
            <a:ext uri="{FF2B5EF4-FFF2-40B4-BE49-F238E27FC236}">
              <a16:creationId xmlns:a16="http://schemas.microsoft.com/office/drawing/2014/main" id="{FB4FBFBC-2E15-43E7-91DB-869C237F4FF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39" name="Text 3">
          <a:extLst>
            <a:ext uri="{FF2B5EF4-FFF2-40B4-BE49-F238E27FC236}">
              <a16:creationId xmlns:a16="http://schemas.microsoft.com/office/drawing/2014/main" id="{9601CB42-23F1-4621-A22B-A758F84DBE9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40" name="Text 3">
          <a:extLst>
            <a:ext uri="{FF2B5EF4-FFF2-40B4-BE49-F238E27FC236}">
              <a16:creationId xmlns:a16="http://schemas.microsoft.com/office/drawing/2014/main" id="{044B078A-BBB4-47BE-A4B3-9443A31FA85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41" name="Text 3">
          <a:extLst>
            <a:ext uri="{FF2B5EF4-FFF2-40B4-BE49-F238E27FC236}">
              <a16:creationId xmlns:a16="http://schemas.microsoft.com/office/drawing/2014/main" id="{E516F907-E26B-4B25-90E7-2AF657EC927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42" name="Text 3">
          <a:extLst>
            <a:ext uri="{FF2B5EF4-FFF2-40B4-BE49-F238E27FC236}">
              <a16:creationId xmlns:a16="http://schemas.microsoft.com/office/drawing/2014/main" id="{E613F013-3B8F-4BFE-95FD-8C9327A526C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43" name="Text 3">
          <a:extLst>
            <a:ext uri="{FF2B5EF4-FFF2-40B4-BE49-F238E27FC236}">
              <a16:creationId xmlns:a16="http://schemas.microsoft.com/office/drawing/2014/main" id="{4112377F-9526-4C5E-B1FC-DD94940DD07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44" name="Text 3">
          <a:extLst>
            <a:ext uri="{FF2B5EF4-FFF2-40B4-BE49-F238E27FC236}">
              <a16:creationId xmlns:a16="http://schemas.microsoft.com/office/drawing/2014/main" id="{69A9F9AD-8752-4898-AD67-981A226E230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45" name="Text 3">
          <a:extLst>
            <a:ext uri="{FF2B5EF4-FFF2-40B4-BE49-F238E27FC236}">
              <a16:creationId xmlns:a16="http://schemas.microsoft.com/office/drawing/2014/main" id="{E858B511-9196-47CE-A547-2E458BA86F5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46" name="Text 3">
          <a:extLst>
            <a:ext uri="{FF2B5EF4-FFF2-40B4-BE49-F238E27FC236}">
              <a16:creationId xmlns:a16="http://schemas.microsoft.com/office/drawing/2014/main" id="{E48A0480-8068-40D2-B194-5CE40DE268E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47" name="Text 3">
          <a:extLst>
            <a:ext uri="{FF2B5EF4-FFF2-40B4-BE49-F238E27FC236}">
              <a16:creationId xmlns:a16="http://schemas.microsoft.com/office/drawing/2014/main" id="{90BB3BA1-C3D0-443F-A1DE-1B06C48F8FA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48" name="Text 3">
          <a:extLst>
            <a:ext uri="{FF2B5EF4-FFF2-40B4-BE49-F238E27FC236}">
              <a16:creationId xmlns:a16="http://schemas.microsoft.com/office/drawing/2014/main" id="{7CF947C5-E98A-43F6-92CD-E2C62525ED3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49" name="Text 3">
          <a:extLst>
            <a:ext uri="{FF2B5EF4-FFF2-40B4-BE49-F238E27FC236}">
              <a16:creationId xmlns:a16="http://schemas.microsoft.com/office/drawing/2014/main" id="{991D4E0D-0BD9-40D4-9783-FD9B5808A63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50" name="Text 3">
          <a:extLst>
            <a:ext uri="{FF2B5EF4-FFF2-40B4-BE49-F238E27FC236}">
              <a16:creationId xmlns:a16="http://schemas.microsoft.com/office/drawing/2014/main" id="{570CFACF-1D33-444D-BA1D-6963526F984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51" name="Text 3">
          <a:extLst>
            <a:ext uri="{FF2B5EF4-FFF2-40B4-BE49-F238E27FC236}">
              <a16:creationId xmlns:a16="http://schemas.microsoft.com/office/drawing/2014/main" id="{3067B9A8-FB66-48A1-8013-EC3D0D0EC2A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52" name="Text 3">
          <a:extLst>
            <a:ext uri="{FF2B5EF4-FFF2-40B4-BE49-F238E27FC236}">
              <a16:creationId xmlns:a16="http://schemas.microsoft.com/office/drawing/2014/main" id="{A971FDFA-B342-4524-AF8F-62B45162C94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53" name="Text 3">
          <a:extLst>
            <a:ext uri="{FF2B5EF4-FFF2-40B4-BE49-F238E27FC236}">
              <a16:creationId xmlns:a16="http://schemas.microsoft.com/office/drawing/2014/main" id="{6AE7BC20-9F6B-4B73-A442-57764444439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54" name="Text 3">
          <a:extLst>
            <a:ext uri="{FF2B5EF4-FFF2-40B4-BE49-F238E27FC236}">
              <a16:creationId xmlns:a16="http://schemas.microsoft.com/office/drawing/2014/main" id="{BA8C1132-2617-4EEC-AD49-5DD8DF3AE25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55" name="Text 3">
          <a:extLst>
            <a:ext uri="{FF2B5EF4-FFF2-40B4-BE49-F238E27FC236}">
              <a16:creationId xmlns:a16="http://schemas.microsoft.com/office/drawing/2014/main" id="{FA17CB3C-14C6-4235-8391-3257AC78BF0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56" name="Text 3">
          <a:extLst>
            <a:ext uri="{FF2B5EF4-FFF2-40B4-BE49-F238E27FC236}">
              <a16:creationId xmlns:a16="http://schemas.microsoft.com/office/drawing/2014/main" id="{5980C93E-C36B-4F7C-946F-4B80688E09C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57" name="Text 3">
          <a:extLst>
            <a:ext uri="{FF2B5EF4-FFF2-40B4-BE49-F238E27FC236}">
              <a16:creationId xmlns:a16="http://schemas.microsoft.com/office/drawing/2014/main" id="{97CD6A8F-0780-4F8F-853E-7234E5753EA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58" name="Text 3">
          <a:extLst>
            <a:ext uri="{FF2B5EF4-FFF2-40B4-BE49-F238E27FC236}">
              <a16:creationId xmlns:a16="http://schemas.microsoft.com/office/drawing/2014/main" id="{2A1EDD87-5618-4CAB-8E70-6955F777A98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59" name="Text 3">
          <a:extLst>
            <a:ext uri="{FF2B5EF4-FFF2-40B4-BE49-F238E27FC236}">
              <a16:creationId xmlns:a16="http://schemas.microsoft.com/office/drawing/2014/main" id="{A96608AA-BDE5-440E-B5EF-65EECAD13F6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60" name="Text 3">
          <a:extLst>
            <a:ext uri="{FF2B5EF4-FFF2-40B4-BE49-F238E27FC236}">
              <a16:creationId xmlns:a16="http://schemas.microsoft.com/office/drawing/2014/main" id="{18424D16-0C3E-4F4F-A829-E609C9CB0F2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61" name="Text 3">
          <a:extLst>
            <a:ext uri="{FF2B5EF4-FFF2-40B4-BE49-F238E27FC236}">
              <a16:creationId xmlns:a16="http://schemas.microsoft.com/office/drawing/2014/main" id="{7AACD0A7-9545-4844-91A3-0FD0D51AF5D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62" name="Text 3">
          <a:extLst>
            <a:ext uri="{FF2B5EF4-FFF2-40B4-BE49-F238E27FC236}">
              <a16:creationId xmlns:a16="http://schemas.microsoft.com/office/drawing/2014/main" id="{D429F7BE-E11F-4A43-A13D-44EE9883594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63" name="Text 3">
          <a:extLst>
            <a:ext uri="{FF2B5EF4-FFF2-40B4-BE49-F238E27FC236}">
              <a16:creationId xmlns:a16="http://schemas.microsoft.com/office/drawing/2014/main" id="{1CC94F15-E791-42F8-BF2E-C476524D002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64" name="Text 3">
          <a:extLst>
            <a:ext uri="{FF2B5EF4-FFF2-40B4-BE49-F238E27FC236}">
              <a16:creationId xmlns:a16="http://schemas.microsoft.com/office/drawing/2014/main" id="{40C8DEE0-C587-4219-9293-1EFA4E06449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65" name="Text 3">
          <a:extLst>
            <a:ext uri="{FF2B5EF4-FFF2-40B4-BE49-F238E27FC236}">
              <a16:creationId xmlns:a16="http://schemas.microsoft.com/office/drawing/2014/main" id="{90CF0673-2920-4C0E-872A-3CA116F2D0C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66" name="Text 3">
          <a:extLst>
            <a:ext uri="{FF2B5EF4-FFF2-40B4-BE49-F238E27FC236}">
              <a16:creationId xmlns:a16="http://schemas.microsoft.com/office/drawing/2014/main" id="{4EA61C43-B409-4F57-BAFA-47DD04E70C8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67" name="Text 3">
          <a:extLst>
            <a:ext uri="{FF2B5EF4-FFF2-40B4-BE49-F238E27FC236}">
              <a16:creationId xmlns:a16="http://schemas.microsoft.com/office/drawing/2014/main" id="{55790ABC-C48E-4319-8CFB-AEAAEFB72A7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68" name="Text 3">
          <a:extLst>
            <a:ext uri="{FF2B5EF4-FFF2-40B4-BE49-F238E27FC236}">
              <a16:creationId xmlns:a16="http://schemas.microsoft.com/office/drawing/2014/main" id="{38D5BB21-93E5-44C1-B42A-25B8E4ACADE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69" name="Text 3">
          <a:extLst>
            <a:ext uri="{FF2B5EF4-FFF2-40B4-BE49-F238E27FC236}">
              <a16:creationId xmlns:a16="http://schemas.microsoft.com/office/drawing/2014/main" id="{F54CDDC2-3045-4DAB-8491-B67DA42BE6F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70" name="Text 3">
          <a:extLst>
            <a:ext uri="{FF2B5EF4-FFF2-40B4-BE49-F238E27FC236}">
              <a16:creationId xmlns:a16="http://schemas.microsoft.com/office/drawing/2014/main" id="{DD326F03-DEC0-4F4C-951E-C543133EC97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71" name="Text 3">
          <a:extLst>
            <a:ext uri="{FF2B5EF4-FFF2-40B4-BE49-F238E27FC236}">
              <a16:creationId xmlns:a16="http://schemas.microsoft.com/office/drawing/2014/main" id="{848A2336-CE7B-4A67-A956-D0CAD2CB3E3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72" name="Text 3">
          <a:extLst>
            <a:ext uri="{FF2B5EF4-FFF2-40B4-BE49-F238E27FC236}">
              <a16:creationId xmlns:a16="http://schemas.microsoft.com/office/drawing/2014/main" id="{9E102F11-05BE-4AEB-9FB7-9515F011A10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73" name="Text 3">
          <a:extLst>
            <a:ext uri="{FF2B5EF4-FFF2-40B4-BE49-F238E27FC236}">
              <a16:creationId xmlns:a16="http://schemas.microsoft.com/office/drawing/2014/main" id="{CEF56846-B5BF-44FD-9457-F54ACB65D97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74" name="Text 3">
          <a:extLst>
            <a:ext uri="{FF2B5EF4-FFF2-40B4-BE49-F238E27FC236}">
              <a16:creationId xmlns:a16="http://schemas.microsoft.com/office/drawing/2014/main" id="{35D07A6F-926F-4A32-AFC1-AF00FF6017A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75" name="Text 3">
          <a:extLst>
            <a:ext uri="{FF2B5EF4-FFF2-40B4-BE49-F238E27FC236}">
              <a16:creationId xmlns:a16="http://schemas.microsoft.com/office/drawing/2014/main" id="{FE34BCC4-1FFE-413E-A37F-84D3A528AD5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76" name="Text 3">
          <a:extLst>
            <a:ext uri="{FF2B5EF4-FFF2-40B4-BE49-F238E27FC236}">
              <a16:creationId xmlns:a16="http://schemas.microsoft.com/office/drawing/2014/main" id="{0958C123-E0B4-4EFE-BB31-A3BD51977A4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77" name="Text 3">
          <a:extLst>
            <a:ext uri="{FF2B5EF4-FFF2-40B4-BE49-F238E27FC236}">
              <a16:creationId xmlns:a16="http://schemas.microsoft.com/office/drawing/2014/main" id="{ABFDFFDD-23C9-40FC-ABBE-8E7C3D51A6C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78" name="Text 3">
          <a:extLst>
            <a:ext uri="{FF2B5EF4-FFF2-40B4-BE49-F238E27FC236}">
              <a16:creationId xmlns:a16="http://schemas.microsoft.com/office/drawing/2014/main" id="{6344AEEE-190E-487B-B941-162E10B3532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79" name="Text 3">
          <a:extLst>
            <a:ext uri="{FF2B5EF4-FFF2-40B4-BE49-F238E27FC236}">
              <a16:creationId xmlns:a16="http://schemas.microsoft.com/office/drawing/2014/main" id="{EEFEF55F-628E-44A4-B1E1-2C2E3737508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80" name="Text 3">
          <a:extLst>
            <a:ext uri="{FF2B5EF4-FFF2-40B4-BE49-F238E27FC236}">
              <a16:creationId xmlns:a16="http://schemas.microsoft.com/office/drawing/2014/main" id="{08F3072F-3531-4ED1-98E1-1292F60695A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81" name="Text 3">
          <a:extLst>
            <a:ext uri="{FF2B5EF4-FFF2-40B4-BE49-F238E27FC236}">
              <a16:creationId xmlns:a16="http://schemas.microsoft.com/office/drawing/2014/main" id="{8F1E36F2-0E20-430B-B635-7E0A91DB61F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82" name="Text 3">
          <a:extLst>
            <a:ext uri="{FF2B5EF4-FFF2-40B4-BE49-F238E27FC236}">
              <a16:creationId xmlns:a16="http://schemas.microsoft.com/office/drawing/2014/main" id="{23743091-5DB1-4061-BE17-9B1ACBE0811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83" name="Text 3">
          <a:extLst>
            <a:ext uri="{FF2B5EF4-FFF2-40B4-BE49-F238E27FC236}">
              <a16:creationId xmlns:a16="http://schemas.microsoft.com/office/drawing/2014/main" id="{9C2172EA-E995-423C-96F9-AA24918F49A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84" name="Text 3">
          <a:extLst>
            <a:ext uri="{FF2B5EF4-FFF2-40B4-BE49-F238E27FC236}">
              <a16:creationId xmlns:a16="http://schemas.microsoft.com/office/drawing/2014/main" id="{646FAFB1-F71D-48D4-AF42-001F065846E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85" name="Text 3">
          <a:extLst>
            <a:ext uri="{FF2B5EF4-FFF2-40B4-BE49-F238E27FC236}">
              <a16:creationId xmlns:a16="http://schemas.microsoft.com/office/drawing/2014/main" id="{8237A7C9-CEE3-440C-9807-69C80F7EE4B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86" name="Text 3">
          <a:extLst>
            <a:ext uri="{FF2B5EF4-FFF2-40B4-BE49-F238E27FC236}">
              <a16:creationId xmlns:a16="http://schemas.microsoft.com/office/drawing/2014/main" id="{F243946E-BDFB-419A-95F5-0B66696487A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87" name="Text 3">
          <a:extLst>
            <a:ext uri="{FF2B5EF4-FFF2-40B4-BE49-F238E27FC236}">
              <a16:creationId xmlns:a16="http://schemas.microsoft.com/office/drawing/2014/main" id="{4285DCED-1C12-4D36-A4A8-0A0F4B99EEA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88" name="Text 3">
          <a:extLst>
            <a:ext uri="{FF2B5EF4-FFF2-40B4-BE49-F238E27FC236}">
              <a16:creationId xmlns:a16="http://schemas.microsoft.com/office/drawing/2014/main" id="{896821BB-A953-4B83-9851-B8DD2019B25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89" name="Text 3">
          <a:extLst>
            <a:ext uri="{FF2B5EF4-FFF2-40B4-BE49-F238E27FC236}">
              <a16:creationId xmlns:a16="http://schemas.microsoft.com/office/drawing/2014/main" id="{66F46A7D-8978-474E-A06C-92DBFC6018D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90" name="Text 3">
          <a:extLst>
            <a:ext uri="{FF2B5EF4-FFF2-40B4-BE49-F238E27FC236}">
              <a16:creationId xmlns:a16="http://schemas.microsoft.com/office/drawing/2014/main" id="{4154A5B9-8E97-4B85-AE4B-9796D6C6CA6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91" name="Text 3">
          <a:extLst>
            <a:ext uri="{FF2B5EF4-FFF2-40B4-BE49-F238E27FC236}">
              <a16:creationId xmlns:a16="http://schemas.microsoft.com/office/drawing/2014/main" id="{E35DC0CD-D40E-425C-B073-E3717C5374F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92" name="Text 3">
          <a:extLst>
            <a:ext uri="{FF2B5EF4-FFF2-40B4-BE49-F238E27FC236}">
              <a16:creationId xmlns:a16="http://schemas.microsoft.com/office/drawing/2014/main" id="{0143FD31-A3B8-413E-A16B-8CF5D31F2C1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93" name="Text 3">
          <a:extLst>
            <a:ext uri="{FF2B5EF4-FFF2-40B4-BE49-F238E27FC236}">
              <a16:creationId xmlns:a16="http://schemas.microsoft.com/office/drawing/2014/main" id="{91493351-1A60-4CC2-A390-2545C237363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94" name="Text 3">
          <a:extLst>
            <a:ext uri="{FF2B5EF4-FFF2-40B4-BE49-F238E27FC236}">
              <a16:creationId xmlns:a16="http://schemas.microsoft.com/office/drawing/2014/main" id="{430B0235-0BAE-40EF-8810-1725E41DBB0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95" name="Text 3">
          <a:extLst>
            <a:ext uri="{FF2B5EF4-FFF2-40B4-BE49-F238E27FC236}">
              <a16:creationId xmlns:a16="http://schemas.microsoft.com/office/drawing/2014/main" id="{C202C744-ADBB-4F0A-B2DA-2A034DB9ABD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96" name="Text 3">
          <a:extLst>
            <a:ext uri="{FF2B5EF4-FFF2-40B4-BE49-F238E27FC236}">
              <a16:creationId xmlns:a16="http://schemas.microsoft.com/office/drawing/2014/main" id="{35F43EE0-407F-4C90-ADF6-A68E3D54AF5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597" name="Text 3">
          <a:extLst>
            <a:ext uri="{FF2B5EF4-FFF2-40B4-BE49-F238E27FC236}">
              <a16:creationId xmlns:a16="http://schemas.microsoft.com/office/drawing/2014/main" id="{CCBE918B-040A-404F-92A4-032929E69A4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598" name="Text 3">
          <a:extLst>
            <a:ext uri="{FF2B5EF4-FFF2-40B4-BE49-F238E27FC236}">
              <a16:creationId xmlns:a16="http://schemas.microsoft.com/office/drawing/2014/main" id="{9BDD9B85-B407-42A1-9DAB-6D89CC9DA87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599" name="Text 3">
          <a:extLst>
            <a:ext uri="{FF2B5EF4-FFF2-40B4-BE49-F238E27FC236}">
              <a16:creationId xmlns:a16="http://schemas.microsoft.com/office/drawing/2014/main" id="{FE4A5949-B268-48F5-8A25-D1B8A7DCC61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00" name="Text 3">
          <a:extLst>
            <a:ext uri="{FF2B5EF4-FFF2-40B4-BE49-F238E27FC236}">
              <a16:creationId xmlns:a16="http://schemas.microsoft.com/office/drawing/2014/main" id="{565BFF63-73DF-4AC4-BAAB-A6E8041C865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01" name="Text 3">
          <a:extLst>
            <a:ext uri="{FF2B5EF4-FFF2-40B4-BE49-F238E27FC236}">
              <a16:creationId xmlns:a16="http://schemas.microsoft.com/office/drawing/2014/main" id="{490C7F58-FA9B-4162-B619-6B4764AD404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02" name="Text 3">
          <a:extLst>
            <a:ext uri="{FF2B5EF4-FFF2-40B4-BE49-F238E27FC236}">
              <a16:creationId xmlns:a16="http://schemas.microsoft.com/office/drawing/2014/main" id="{91C78B12-D760-49F4-AA81-57E235F9FF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03" name="Text 3">
          <a:extLst>
            <a:ext uri="{FF2B5EF4-FFF2-40B4-BE49-F238E27FC236}">
              <a16:creationId xmlns:a16="http://schemas.microsoft.com/office/drawing/2014/main" id="{563C4681-A0C3-4B65-B3FD-85BD8D8F128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04" name="Text 3">
          <a:extLst>
            <a:ext uri="{FF2B5EF4-FFF2-40B4-BE49-F238E27FC236}">
              <a16:creationId xmlns:a16="http://schemas.microsoft.com/office/drawing/2014/main" id="{61BF1A7E-7063-47FE-8B8B-75ABCB112A2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05" name="Text 3">
          <a:extLst>
            <a:ext uri="{FF2B5EF4-FFF2-40B4-BE49-F238E27FC236}">
              <a16:creationId xmlns:a16="http://schemas.microsoft.com/office/drawing/2014/main" id="{E5011715-C482-45CD-B642-C9FFAB82520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06" name="Text 3">
          <a:extLst>
            <a:ext uri="{FF2B5EF4-FFF2-40B4-BE49-F238E27FC236}">
              <a16:creationId xmlns:a16="http://schemas.microsoft.com/office/drawing/2014/main" id="{1D869576-BE58-46A1-AFC7-75C30ECB13E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07" name="Text 3">
          <a:extLst>
            <a:ext uri="{FF2B5EF4-FFF2-40B4-BE49-F238E27FC236}">
              <a16:creationId xmlns:a16="http://schemas.microsoft.com/office/drawing/2014/main" id="{BCAB2431-D426-4FB5-BC9F-E7EAE776FD2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08" name="Text 3">
          <a:extLst>
            <a:ext uri="{FF2B5EF4-FFF2-40B4-BE49-F238E27FC236}">
              <a16:creationId xmlns:a16="http://schemas.microsoft.com/office/drawing/2014/main" id="{63F56880-3DAD-45E8-BA31-4FF53355167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09" name="Text 3">
          <a:extLst>
            <a:ext uri="{FF2B5EF4-FFF2-40B4-BE49-F238E27FC236}">
              <a16:creationId xmlns:a16="http://schemas.microsoft.com/office/drawing/2014/main" id="{37E3EBBA-08E6-4300-9BC2-4EB0C8FD57E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10" name="Text 3">
          <a:extLst>
            <a:ext uri="{FF2B5EF4-FFF2-40B4-BE49-F238E27FC236}">
              <a16:creationId xmlns:a16="http://schemas.microsoft.com/office/drawing/2014/main" id="{2BC0B572-ADB5-45BC-B575-212D03DBFF8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11" name="Text 3">
          <a:extLst>
            <a:ext uri="{FF2B5EF4-FFF2-40B4-BE49-F238E27FC236}">
              <a16:creationId xmlns:a16="http://schemas.microsoft.com/office/drawing/2014/main" id="{99A7B597-2756-4E1F-A6F7-E210542A5EF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12" name="Text 3">
          <a:extLst>
            <a:ext uri="{FF2B5EF4-FFF2-40B4-BE49-F238E27FC236}">
              <a16:creationId xmlns:a16="http://schemas.microsoft.com/office/drawing/2014/main" id="{E07DEC45-C94C-477B-8456-24E1692CAF0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13" name="Text 3">
          <a:extLst>
            <a:ext uri="{FF2B5EF4-FFF2-40B4-BE49-F238E27FC236}">
              <a16:creationId xmlns:a16="http://schemas.microsoft.com/office/drawing/2014/main" id="{ACEAA189-3977-443F-936F-10B9AD8AAE0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14" name="Text 3">
          <a:extLst>
            <a:ext uri="{FF2B5EF4-FFF2-40B4-BE49-F238E27FC236}">
              <a16:creationId xmlns:a16="http://schemas.microsoft.com/office/drawing/2014/main" id="{5559EF4F-9CC5-4525-9611-E4564DC969C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15" name="Text 3">
          <a:extLst>
            <a:ext uri="{FF2B5EF4-FFF2-40B4-BE49-F238E27FC236}">
              <a16:creationId xmlns:a16="http://schemas.microsoft.com/office/drawing/2014/main" id="{862787DC-DAFD-468A-B5F5-A841711B2BB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16" name="Text 3">
          <a:extLst>
            <a:ext uri="{FF2B5EF4-FFF2-40B4-BE49-F238E27FC236}">
              <a16:creationId xmlns:a16="http://schemas.microsoft.com/office/drawing/2014/main" id="{3EFC9E60-6C60-4EA7-9582-8236FD10D62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17" name="Text 3">
          <a:extLst>
            <a:ext uri="{FF2B5EF4-FFF2-40B4-BE49-F238E27FC236}">
              <a16:creationId xmlns:a16="http://schemas.microsoft.com/office/drawing/2014/main" id="{7152727B-2826-464D-9681-1E7C984C946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18" name="Text 3">
          <a:extLst>
            <a:ext uri="{FF2B5EF4-FFF2-40B4-BE49-F238E27FC236}">
              <a16:creationId xmlns:a16="http://schemas.microsoft.com/office/drawing/2014/main" id="{88485CA2-38AE-4962-8E71-A39AFBFBF1C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19" name="Text 3">
          <a:extLst>
            <a:ext uri="{FF2B5EF4-FFF2-40B4-BE49-F238E27FC236}">
              <a16:creationId xmlns:a16="http://schemas.microsoft.com/office/drawing/2014/main" id="{23CA48A3-2B9B-4E41-A977-86CE288DED9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20" name="Text 3">
          <a:extLst>
            <a:ext uri="{FF2B5EF4-FFF2-40B4-BE49-F238E27FC236}">
              <a16:creationId xmlns:a16="http://schemas.microsoft.com/office/drawing/2014/main" id="{D0DAA40B-A113-42E8-9FFF-126526CA68E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21" name="Text 3">
          <a:extLst>
            <a:ext uri="{FF2B5EF4-FFF2-40B4-BE49-F238E27FC236}">
              <a16:creationId xmlns:a16="http://schemas.microsoft.com/office/drawing/2014/main" id="{401EF283-1C47-4528-9FA5-D3D4DBBB5AC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22" name="Text 3">
          <a:extLst>
            <a:ext uri="{FF2B5EF4-FFF2-40B4-BE49-F238E27FC236}">
              <a16:creationId xmlns:a16="http://schemas.microsoft.com/office/drawing/2014/main" id="{D590ADC1-E1FF-4AC8-9D1E-186B8F50BDD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23" name="Text 3">
          <a:extLst>
            <a:ext uri="{FF2B5EF4-FFF2-40B4-BE49-F238E27FC236}">
              <a16:creationId xmlns:a16="http://schemas.microsoft.com/office/drawing/2014/main" id="{D13BBC1A-8831-4A4A-B5E7-FC9583974B3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24" name="Text 3">
          <a:extLst>
            <a:ext uri="{FF2B5EF4-FFF2-40B4-BE49-F238E27FC236}">
              <a16:creationId xmlns:a16="http://schemas.microsoft.com/office/drawing/2014/main" id="{21D29335-C706-4478-A6F1-97E971E716A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25" name="Text 3">
          <a:extLst>
            <a:ext uri="{FF2B5EF4-FFF2-40B4-BE49-F238E27FC236}">
              <a16:creationId xmlns:a16="http://schemas.microsoft.com/office/drawing/2014/main" id="{FEB05CF2-9CFD-4531-8360-ABB7FC85C52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26" name="Text 3">
          <a:extLst>
            <a:ext uri="{FF2B5EF4-FFF2-40B4-BE49-F238E27FC236}">
              <a16:creationId xmlns:a16="http://schemas.microsoft.com/office/drawing/2014/main" id="{394419B0-E879-4326-A95D-AFEF282EFD0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27" name="Text 3">
          <a:extLst>
            <a:ext uri="{FF2B5EF4-FFF2-40B4-BE49-F238E27FC236}">
              <a16:creationId xmlns:a16="http://schemas.microsoft.com/office/drawing/2014/main" id="{DBE58011-53C1-40F5-8703-5904BD086AE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28" name="Text 3">
          <a:extLst>
            <a:ext uri="{FF2B5EF4-FFF2-40B4-BE49-F238E27FC236}">
              <a16:creationId xmlns:a16="http://schemas.microsoft.com/office/drawing/2014/main" id="{AB92D941-285E-47D0-95D2-F303E9CDC73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29" name="Text 3">
          <a:extLst>
            <a:ext uri="{FF2B5EF4-FFF2-40B4-BE49-F238E27FC236}">
              <a16:creationId xmlns:a16="http://schemas.microsoft.com/office/drawing/2014/main" id="{C4C209EE-D751-4AC6-8478-82AB313BD25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30" name="Text 3">
          <a:extLst>
            <a:ext uri="{FF2B5EF4-FFF2-40B4-BE49-F238E27FC236}">
              <a16:creationId xmlns:a16="http://schemas.microsoft.com/office/drawing/2014/main" id="{4C1B875C-EDC3-4A62-AD73-5D63CC426DB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31" name="Text 3">
          <a:extLst>
            <a:ext uri="{FF2B5EF4-FFF2-40B4-BE49-F238E27FC236}">
              <a16:creationId xmlns:a16="http://schemas.microsoft.com/office/drawing/2014/main" id="{548312AF-ADA4-4340-9C4B-670BAB26498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32" name="Text 3">
          <a:extLst>
            <a:ext uri="{FF2B5EF4-FFF2-40B4-BE49-F238E27FC236}">
              <a16:creationId xmlns:a16="http://schemas.microsoft.com/office/drawing/2014/main" id="{5DF09D47-2BDD-4E7F-A6FD-174EC596A7A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33" name="Text 3">
          <a:extLst>
            <a:ext uri="{FF2B5EF4-FFF2-40B4-BE49-F238E27FC236}">
              <a16:creationId xmlns:a16="http://schemas.microsoft.com/office/drawing/2014/main" id="{82AAE296-E67C-4B9C-930A-7EA9CE643AA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34" name="Text 3">
          <a:extLst>
            <a:ext uri="{FF2B5EF4-FFF2-40B4-BE49-F238E27FC236}">
              <a16:creationId xmlns:a16="http://schemas.microsoft.com/office/drawing/2014/main" id="{3F4229A1-58EC-4BE5-A258-186F64B4AAE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35" name="Text 3">
          <a:extLst>
            <a:ext uri="{FF2B5EF4-FFF2-40B4-BE49-F238E27FC236}">
              <a16:creationId xmlns:a16="http://schemas.microsoft.com/office/drawing/2014/main" id="{DAD3DB29-8144-4A4A-B671-3C3EA593212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36" name="Text 3">
          <a:extLst>
            <a:ext uri="{FF2B5EF4-FFF2-40B4-BE49-F238E27FC236}">
              <a16:creationId xmlns:a16="http://schemas.microsoft.com/office/drawing/2014/main" id="{33F34FDE-0BE9-4C02-A995-F797ECC9D48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37" name="Text 3">
          <a:extLst>
            <a:ext uri="{FF2B5EF4-FFF2-40B4-BE49-F238E27FC236}">
              <a16:creationId xmlns:a16="http://schemas.microsoft.com/office/drawing/2014/main" id="{99583078-B41C-403B-A5CC-2E4E26146CD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38" name="Text 3">
          <a:extLst>
            <a:ext uri="{FF2B5EF4-FFF2-40B4-BE49-F238E27FC236}">
              <a16:creationId xmlns:a16="http://schemas.microsoft.com/office/drawing/2014/main" id="{7339EB39-3281-4DDF-AE4D-7BE9C9E0274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39" name="Text 3">
          <a:extLst>
            <a:ext uri="{FF2B5EF4-FFF2-40B4-BE49-F238E27FC236}">
              <a16:creationId xmlns:a16="http://schemas.microsoft.com/office/drawing/2014/main" id="{66A0FDB9-6F1F-4C58-962C-6C2D165C2AE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40" name="Text 3">
          <a:extLst>
            <a:ext uri="{FF2B5EF4-FFF2-40B4-BE49-F238E27FC236}">
              <a16:creationId xmlns:a16="http://schemas.microsoft.com/office/drawing/2014/main" id="{EB1B0C75-97E4-4146-806E-5E9A30EC3E7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41" name="Text 3">
          <a:extLst>
            <a:ext uri="{FF2B5EF4-FFF2-40B4-BE49-F238E27FC236}">
              <a16:creationId xmlns:a16="http://schemas.microsoft.com/office/drawing/2014/main" id="{04C53EC9-4AEB-4488-B1FA-5B1CDB5999F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42" name="Text 3">
          <a:extLst>
            <a:ext uri="{FF2B5EF4-FFF2-40B4-BE49-F238E27FC236}">
              <a16:creationId xmlns:a16="http://schemas.microsoft.com/office/drawing/2014/main" id="{A2764427-B025-4440-B1B8-A8A49693CA9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43" name="Text 3">
          <a:extLst>
            <a:ext uri="{FF2B5EF4-FFF2-40B4-BE49-F238E27FC236}">
              <a16:creationId xmlns:a16="http://schemas.microsoft.com/office/drawing/2014/main" id="{4FF699DE-0355-495C-AAF4-0872DC99B36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44" name="Text 3">
          <a:extLst>
            <a:ext uri="{FF2B5EF4-FFF2-40B4-BE49-F238E27FC236}">
              <a16:creationId xmlns:a16="http://schemas.microsoft.com/office/drawing/2014/main" id="{36278C82-4F35-4855-99C2-10254436852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45" name="Text 3">
          <a:extLst>
            <a:ext uri="{FF2B5EF4-FFF2-40B4-BE49-F238E27FC236}">
              <a16:creationId xmlns:a16="http://schemas.microsoft.com/office/drawing/2014/main" id="{908F6B1F-B0E7-4F91-9036-A2B9BBE5158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46" name="Text 3">
          <a:extLst>
            <a:ext uri="{FF2B5EF4-FFF2-40B4-BE49-F238E27FC236}">
              <a16:creationId xmlns:a16="http://schemas.microsoft.com/office/drawing/2014/main" id="{DA493BE1-005D-482A-BBD4-72A17CF1169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47" name="Text 3">
          <a:extLst>
            <a:ext uri="{FF2B5EF4-FFF2-40B4-BE49-F238E27FC236}">
              <a16:creationId xmlns:a16="http://schemas.microsoft.com/office/drawing/2014/main" id="{ED68FEE8-A3A5-4BAB-A781-0EFDC63837A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48" name="Text 3">
          <a:extLst>
            <a:ext uri="{FF2B5EF4-FFF2-40B4-BE49-F238E27FC236}">
              <a16:creationId xmlns:a16="http://schemas.microsoft.com/office/drawing/2014/main" id="{37E816C5-3435-4F48-9B48-CFA29B94743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49" name="Text 3">
          <a:extLst>
            <a:ext uri="{FF2B5EF4-FFF2-40B4-BE49-F238E27FC236}">
              <a16:creationId xmlns:a16="http://schemas.microsoft.com/office/drawing/2014/main" id="{A76A3E14-EDEC-4ADB-9638-5CEFB0D3220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50" name="Text 3">
          <a:extLst>
            <a:ext uri="{FF2B5EF4-FFF2-40B4-BE49-F238E27FC236}">
              <a16:creationId xmlns:a16="http://schemas.microsoft.com/office/drawing/2014/main" id="{B1AD20C2-3801-40DC-B472-56DB6F684E2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51" name="Text 3">
          <a:extLst>
            <a:ext uri="{FF2B5EF4-FFF2-40B4-BE49-F238E27FC236}">
              <a16:creationId xmlns:a16="http://schemas.microsoft.com/office/drawing/2014/main" id="{6870220B-8028-4C37-8230-42E0E1B5D38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52" name="Text 3">
          <a:extLst>
            <a:ext uri="{FF2B5EF4-FFF2-40B4-BE49-F238E27FC236}">
              <a16:creationId xmlns:a16="http://schemas.microsoft.com/office/drawing/2014/main" id="{2C208778-7A59-413F-A287-850A47E398C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53" name="Text 3">
          <a:extLst>
            <a:ext uri="{FF2B5EF4-FFF2-40B4-BE49-F238E27FC236}">
              <a16:creationId xmlns:a16="http://schemas.microsoft.com/office/drawing/2014/main" id="{D80CE50B-B657-4858-A810-5A9A0A4F947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54" name="Text 3">
          <a:extLst>
            <a:ext uri="{FF2B5EF4-FFF2-40B4-BE49-F238E27FC236}">
              <a16:creationId xmlns:a16="http://schemas.microsoft.com/office/drawing/2014/main" id="{53BC591C-AEB4-4072-9E2E-9D7396C1E6D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55" name="Text 3">
          <a:extLst>
            <a:ext uri="{FF2B5EF4-FFF2-40B4-BE49-F238E27FC236}">
              <a16:creationId xmlns:a16="http://schemas.microsoft.com/office/drawing/2014/main" id="{0083FFBF-1573-46C7-934F-695D320C129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56" name="Text 3">
          <a:extLst>
            <a:ext uri="{FF2B5EF4-FFF2-40B4-BE49-F238E27FC236}">
              <a16:creationId xmlns:a16="http://schemas.microsoft.com/office/drawing/2014/main" id="{12A0C30F-404B-4C1C-A7C9-43D3F957221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57" name="Text 3">
          <a:extLst>
            <a:ext uri="{FF2B5EF4-FFF2-40B4-BE49-F238E27FC236}">
              <a16:creationId xmlns:a16="http://schemas.microsoft.com/office/drawing/2014/main" id="{8C3CB432-C1BC-47CA-AE5A-9DE1BA1996A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58" name="Text 3">
          <a:extLst>
            <a:ext uri="{FF2B5EF4-FFF2-40B4-BE49-F238E27FC236}">
              <a16:creationId xmlns:a16="http://schemas.microsoft.com/office/drawing/2014/main" id="{98D5C785-0D5C-4297-9761-6E36E0EB9B6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59" name="Text 3">
          <a:extLst>
            <a:ext uri="{FF2B5EF4-FFF2-40B4-BE49-F238E27FC236}">
              <a16:creationId xmlns:a16="http://schemas.microsoft.com/office/drawing/2014/main" id="{C0C0DAA5-B540-4CCC-B4FA-8F3B2D5608E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60" name="Text 3">
          <a:extLst>
            <a:ext uri="{FF2B5EF4-FFF2-40B4-BE49-F238E27FC236}">
              <a16:creationId xmlns:a16="http://schemas.microsoft.com/office/drawing/2014/main" id="{01E34C94-8B44-42DE-813F-21CBB76AED3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61" name="Text 3">
          <a:extLst>
            <a:ext uri="{FF2B5EF4-FFF2-40B4-BE49-F238E27FC236}">
              <a16:creationId xmlns:a16="http://schemas.microsoft.com/office/drawing/2014/main" id="{6ED38604-57C2-48F8-8AFD-1EAB14DA098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62" name="Text 3">
          <a:extLst>
            <a:ext uri="{FF2B5EF4-FFF2-40B4-BE49-F238E27FC236}">
              <a16:creationId xmlns:a16="http://schemas.microsoft.com/office/drawing/2014/main" id="{37BF9F10-746C-433E-B9A0-AAF720FB5F1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63" name="Text 3">
          <a:extLst>
            <a:ext uri="{FF2B5EF4-FFF2-40B4-BE49-F238E27FC236}">
              <a16:creationId xmlns:a16="http://schemas.microsoft.com/office/drawing/2014/main" id="{194EF02F-F591-41F0-AFB4-5B7ABDD1AC2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64" name="Text 3">
          <a:extLst>
            <a:ext uri="{FF2B5EF4-FFF2-40B4-BE49-F238E27FC236}">
              <a16:creationId xmlns:a16="http://schemas.microsoft.com/office/drawing/2014/main" id="{554B5809-AE3C-411B-89E2-359626DE2BE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65" name="Text 3">
          <a:extLst>
            <a:ext uri="{FF2B5EF4-FFF2-40B4-BE49-F238E27FC236}">
              <a16:creationId xmlns:a16="http://schemas.microsoft.com/office/drawing/2014/main" id="{7A757855-1589-4195-8822-3471D1BD9B4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66" name="Text 3">
          <a:extLst>
            <a:ext uri="{FF2B5EF4-FFF2-40B4-BE49-F238E27FC236}">
              <a16:creationId xmlns:a16="http://schemas.microsoft.com/office/drawing/2014/main" id="{1D801413-B674-418E-9591-FFF5F813881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67" name="Text 3">
          <a:extLst>
            <a:ext uri="{FF2B5EF4-FFF2-40B4-BE49-F238E27FC236}">
              <a16:creationId xmlns:a16="http://schemas.microsoft.com/office/drawing/2014/main" id="{8ABAF341-4262-4C15-B918-E19D0ECC77A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68" name="Text 3">
          <a:extLst>
            <a:ext uri="{FF2B5EF4-FFF2-40B4-BE49-F238E27FC236}">
              <a16:creationId xmlns:a16="http://schemas.microsoft.com/office/drawing/2014/main" id="{27981DB0-B615-4F81-8A54-FEB77ED51A0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69" name="Text 3">
          <a:extLst>
            <a:ext uri="{FF2B5EF4-FFF2-40B4-BE49-F238E27FC236}">
              <a16:creationId xmlns:a16="http://schemas.microsoft.com/office/drawing/2014/main" id="{943AB619-8DF2-406A-A9D3-0B67C2DED6D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70" name="Text 3">
          <a:extLst>
            <a:ext uri="{FF2B5EF4-FFF2-40B4-BE49-F238E27FC236}">
              <a16:creationId xmlns:a16="http://schemas.microsoft.com/office/drawing/2014/main" id="{EEB2D416-3936-43FC-A8AB-87778203D9D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71" name="Text 3">
          <a:extLst>
            <a:ext uri="{FF2B5EF4-FFF2-40B4-BE49-F238E27FC236}">
              <a16:creationId xmlns:a16="http://schemas.microsoft.com/office/drawing/2014/main" id="{CD91D66F-537A-4831-8458-2A18BE1510F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72" name="Text 3">
          <a:extLst>
            <a:ext uri="{FF2B5EF4-FFF2-40B4-BE49-F238E27FC236}">
              <a16:creationId xmlns:a16="http://schemas.microsoft.com/office/drawing/2014/main" id="{3F7C833A-CB7B-48F6-8712-62EEDC8697A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73" name="Text 3">
          <a:extLst>
            <a:ext uri="{FF2B5EF4-FFF2-40B4-BE49-F238E27FC236}">
              <a16:creationId xmlns:a16="http://schemas.microsoft.com/office/drawing/2014/main" id="{0C5BFF72-980A-40CD-AA92-370DCE68E87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74" name="Text 3">
          <a:extLst>
            <a:ext uri="{FF2B5EF4-FFF2-40B4-BE49-F238E27FC236}">
              <a16:creationId xmlns:a16="http://schemas.microsoft.com/office/drawing/2014/main" id="{D84658CD-90CF-4D8A-9792-231FE4CC2ED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75" name="Text 3">
          <a:extLst>
            <a:ext uri="{FF2B5EF4-FFF2-40B4-BE49-F238E27FC236}">
              <a16:creationId xmlns:a16="http://schemas.microsoft.com/office/drawing/2014/main" id="{6C97F326-67BA-4F50-ACC9-C18533BA877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76" name="Text 3">
          <a:extLst>
            <a:ext uri="{FF2B5EF4-FFF2-40B4-BE49-F238E27FC236}">
              <a16:creationId xmlns:a16="http://schemas.microsoft.com/office/drawing/2014/main" id="{2B0B509F-27D7-474F-80AD-02F15EF8263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77" name="Text 3">
          <a:extLst>
            <a:ext uri="{FF2B5EF4-FFF2-40B4-BE49-F238E27FC236}">
              <a16:creationId xmlns:a16="http://schemas.microsoft.com/office/drawing/2014/main" id="{7CF77B5E-5DF3-404C-8E94-1FCAEFB04EB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78" name="Text 3">
          <a:extLst>
            <a:ext uri="{FF2B5EF4-FFF2-40B4-BE49-F238E27FC236}">
              <a16:creationId xmlns:a16="http://schemas.microsoft.com/office/drawing/2014/main" id="{B056FE00-D788-46D8-BEBD-0F7F34F5BE9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79" name="Text 3">
          <a:extLst>
            <a:ext uri="{FF2B5EF4-FFF2-40B4-BE49-F238E27FC236}">
              <a16:creationId xmlns:a16="http://schemas.microsoft.com/office/drawing/2014/main" id="{D6AF2959-DAB9-4881-B93A-F94C5DE37B4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80" name="Text 3">
          <a:extLst>
            <a:ext uri="{FF2B5EF4-FFF2-40B4-BE49-F238E27FC236}">
              <a16:creationId xmlns:a16="http://schemas.microsoft.com/office/drawing/2014/main" id="{7ABFCAC7-467F-4050-BADB-6942281E27E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81" name="Text 3">
          <a:extLst>
            <a:ext uri="{FF2B5EF4-FFF2-40B4-BE49-F238E27FC236}">
              <a16:creationId xmlns:a16="http://schemas.microsoft.com/office/drawing/2014/main" id="{9C05D7D6-C1C5-40B9-8735-FA6D157BF68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82" name="Text 3">
          <a:extLst>
            <a:ext uri="{FF2B5EF4-FFF2-40B4-BE49-F238E27FC236}">
              <a16:creationId xmlns:a16="http://schemas.microsoft.com/office/drawing/2014/main" id="{5CC5F3DE-A7D4-4CDB-92E5-F6E9EC4A4E3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83" name="Text 3">
          <a:extLst>
            <a:ext uri="{FF2B5EF4-FFF2-40B4-BE49-F238E27FC236}">
              <a16:creationId xmlns:a16="http://schemas.microsoft.com/office/drawing/2014/main" id="{57ACBDE8-6BF5-4232-AD9A-CAD909724D5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84" name="Text 3">
          <a:extLst>
            <a:ext uri="{FF2B5EF4-FFF2-40B4-BE49-F238E27FC236}">
              <a16:creationId xmlns:a16="http://schemas.microsoft.com/office/drawing/2014/main" id="{608884F9-FC52-4003-8174-8727FF0D761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85" name="Text 3">
          <a:extLst>
            <a:ext uri="{FF2B5EF4-FFF2-40B4-BE49-F238E27FC236}">
              <a16:creationId xmlns:a16="http://schemas.microsoft.com/office/drawing/2014/main" id="{1B5C5197-9B04-46B5-8309-FC4BB6FBE12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86" name="Text 3">
          <a:extLst>
            <a:ext uri="{FF2B5EF4-FFF2-40B4-BE49-F238E27FC236}">
              <a16:creationId xmlns:a16="http://schemas.microsoft.com/office/drawing/2014/main" id="{89FAE63C-305B-4309-BE5C-0E4B224BE3F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87" name="Text 3">
          <a:extLst>
            <a:ext uri="{FF2B5EF4-FFF2-40B4-BE49-F238E27FC236}">
              <a16:creationId xmlns:a16="http://schemas.microsoft.com/office/drawing/2014/main" id="{CB8B0F13-2962-41F9-B146-CCAB2631FE5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88" name="Text 3">
          <a:extLst>
            <a:ext uri="{FF2B5EF4-FFF2-40B4-BE49-F238E27FC236}">
              <a16:creationId xmlns:a16="http://schemas.microsoft.com/office/drawing/2014/main" id="{0F8C192E-9193-4FA0-8F2A-292CA3252D7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89" name="Text 3">
          <a:extLst>
            <a:ext uri="{FF2B5EF4-FFF2-40B4-BE49-F238E27FC236}">
              <a16:creationId xmlns:a16="http://schemas.microsoft.com/office/drawing/2014/main" id="{DEFC3621-3FBF-49CD-97DF-E5C4D208E6B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90" name="Text 3">
          <a:extLst>
            <a:ext uri="{FF2B5EF4-FFF2-40B4-BE49-F238E27FC236}">
              <a16:creationId xmlns:a16="http://schemas.microsoft.com/office/drawing/2014/main" id="{8477EB50-1897-49D6-9068-8C77098830E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91" name="Text 3">
          <a:extLst>
            <a:ext uri="{FF2B5EF4-FFF2-40B4-BE49-F238E27FC236}">
              <a16:creationId xmlns:a16="http://schemas.microsoft.com/office/drawing/2014/main" id="{8903BD35-0404-456F-A36A-995FE9D6C15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92" name="Text 3">
          <a:extLst>
            <a:ext uri="{FF2B5EF4-FFF2-40B4-BE49-F238E27FC236}">
              <a16:creationId xmlns:a16="http://schemas.microsoft.com/office/drawing/2014/main" id="{3FF7606D-116B-4810-B2CA-C2C41B786E6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93" name="Text 3">
          <a:extLst>
            <a:ext uri="{FF2B5EF4-FFF2-40B4-BE49-F238E27FC236}">
              <a16:creationId xmlns:a16="http://schemas.microsoft.com/office/drawing/2014/main" id="{02D81023-230A-42C5-AE07-6648DB360A3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94" name="Text 3">
          <a:extLst>
            <a:ext uri="{FF2B5EF4-FFF2-40B4-BE49-F238E27FC236}">
              <a16:creationId xmlns:a16="http://schemas.microsoft.com/office/drawing/2014/main" id="{D9163CC6-232B-44A3-8E19-E97DF8828DD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95" name="Text 3">
          <a:extLst>
            <a:ext uri="{FF2B5EF4-FFF2-40B4-BE49-F238E27FC236}">
              <a16:creationId xmlns:a16="http://schemas.microsoft.com/office/drawing/2014/main" id="{9588A484-3DA0-42EE-B0C3-DB35A4FFC98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96" name="Text 3">
          <a:extLst>
            <a:ext uri="{FF2B5EF4-FFF2-40B4-BE49-F238E27FC236}">
              <a16:creationId xmlns:a16="http://schemas.microsoft.com/office/drawing/2014/main" id="{06AF57E7-D773-4D02-809B-2AD4DEE1DA9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697" name="Text 3">
          <a:extLst>
            <a:ext uri="{FF2B5EF4-FFF2-40B4-BE49-F238E27FC236}">
              <a16:creationId xmlns:a16="http://schemas.microsoft.com/office/drawing/2014/main" id="{0C6D633A-FFA8-4317-9CC4-7633EEA9F14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698" name="Text 3">
          <a:extLst>
            <a:ext uri="{FF2B5EF4-FFF2-40B4-BE49-F238E27FC236}">
              <a16:creationId xmlns:a16="http://schemas.microsoft.com/office/drawing/2014/main" id="{68C5F29D-2816-4477-92D0-9BF241DD16A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699" name="Text 3">
          <a:extLst>
            <a:ext uri="{FF2B5EF4-FFF2-40B4-BE49-F238E27FC236}">
              <a16:creationId xmlns:a16="http://schemas.microsoft.com/office/drawing/2014/main" id="{02C5DAC5-D3D3-4B48-AE3C-86CB964A2FA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00" name="Text 3">
          <a:extLst>
            <a:ext uri="{FF2B5EF4-FFF2-40B4-BE49-F238E27FC236}">
              <a16:creationId xmlns:a16="http://schemas.microsoft.com/office/drawing/2014/main" id="{5B162D66-34AE-424C-8205-997315B50C8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01" name="Text 3">
          <a:extLst>
            <a:ext uri="{FF2B5EF4-FFF2-40B4-BE49-F238E27FC236}">
              <a16:creationId xmlns:a16="http://schemas.microsoft.com/office/drawing/2014/main" id="{06F1BF40-1459-43ED-B054-125FEF71726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02" name="Text 3">
          <a:extLst>
            <a:ext uri="{FF2B5EF4-FFF2-40B4-BE49-F238E27FC236}">
              <a16:creationId xmlns:a16="http://schemas.microsoft.com/office/drawing/2014/main" id="{3D1EDCEE-B45D-435B-A689-93A7F757324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03" name="Text 3">
          <a:extLst>
            <a:ext uri="{FF2B5EF4-FFF2-40B4-BE49-F238E27FC236}">
              <a16:creationId xmlns:a16="http://schemas.microsoft.com/office/drawing/2014/main" id="{17307B5D-00FC-4766-B1A8-BDC52CA9AC1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04" name="Text 3">
          <a:extLst>
            <a:ext uri="{FF2B5EF4-FFF2-40B4-BE49-F238E27FC236}">
              <a16:creationId xmlns:a16="http://schemas.microsoft.com/office/drawing/2014/main" id="{AA38D97F-DD58-4276-98C8-2A73444CBE1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05" name="Text 3">
          <a:extLst>
            <a:ext uri="{FF2B5EF4-FFF2-40B4-BE49-F238E27FC236}">
              <a16:creationId xmlns:a16="http://schemas.microsoft.com/office/drawing/2014/main" id="{1E9ABB99-AA0F-4E44-B5E8-8F1CE327840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06" name="Text 3">
          <a:extLst>
            <a:ext uri="{FF2B5EF4-FFF2-40B4-BE49-F238E27FC236}">
              <a16:creationId xmlns:a16="http://schemas.microsoft.com/office/drawing/2014/main" id="{3ECEC08A-63D9-4DF3-82A4-1D30EBE6FE1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07" name="Text 3">
          <a:extLst>
            <a:ext uri="{FF2B5EF4-FFF2-40B4-BE49-F238E27FC236}">
              <a16:creationId xmlns:a16="http://schemas.microsoft.com/office/drawing/2014/main" id="{808669A3-1F67-4478-8CF8-BF833978257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08" name="Text 3">
          <a:extLst>
            <a:ext uri="{FF2B5EF4-FFF2-40B4-BE49-F238E27FC236}">
              <a16:creationId xmlns:a16="http://schemas.microsoft.com/office/drawing/2014/main" id="{5906385B-0205-4905-85FC-9F199488CB8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09" name="Text 3">
          <a:extLst>
            <a:ext uri="{FF2B5EF4-FFF2-40B4-BE49-F238E27FC236}">
              <a16:creationId xmlns:a16="http://schemas.microsoft.com/office/drawing/2014/main" id="{0007A857-1EC6-4931-9B23-58A6C9B77CC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10" name="Text 3">
          <a:extLst>
            <a:ext uri="{FF2B5EF4-FFF2-40B4-BE49-F238E27FC236}">
              <a16:creationId xmlns:a16="http://schemas.microsoft.com/office/drawing/2014/main" id="{12F76E99-C7AC-44D9-9283-2CEF47D3E98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11" name="Text 3">
          <a:extLst>
            <a:ext uri="{FF2B5EF4-FFF2-40B4-BE49-F238E27FC236}">
              <a16:creationId xmlns:a16="http://schemas.microsoft.com/office/drawing/2014/main" id="{A0EDC21A-6C08-4948-BB3B-7422F3834C6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12" name="Text 3">
          <a:extLst>
            <a:ext uri="{FF2B5EF4-FFF2-40B4-BE49-F238E27FC236}">
              <a16:creationId xmlns:a16="http://schemas.microsoft.com/office/drawing/2014/main" id="{42074B83-7A95-420F-812C-800FD06B62B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13" name="Text 3">
          <a:extLst>
            <a:ext uri="{FF2B5EF4-FFF2-40B4-BE49-F238E27FC236}">
              <a16:creationId xmlns:a16="http://schemas.microsoft.com/office/drawing/2014/main" id="{D0D8EEC9-B87D-4366-8931-4F58853BF32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14" name="Text 3">
          <a:extLst>
            <a:ext uri="{FF2B5EF4-FFF2-40B4-BE49-F238E27FC236}">
              <a16:creationId xmlns:a16="http://schemas.microsoft.com/office/drawing/2014/main" id="{4472935C-1EB4-4D72-8F37-0E65FB8876A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15" name="Text 3">
          <a:extLst>
            <a:ext uri="{FF2B5EF4-FFF2-40B4-BE49-F238E27FC236}">
              <a16:creationId xmlns:a16="http://schemas.microsoft.com/office/drawing/2014/main" id="{BF21552E-A90A-446C-BE70-E3A5C2D53D9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16" name="Text 3">
          <a:extLst>
            <a:ext uri="{FF2B5EF4-FFF2-40B4-BE49-F238E27FC236}">
              <a16:creationId xmlns:a16="http://schemas.microsoft.com/office/drawing/2014/main" id="{1907953C-D16B-489A-B6A4-27F3D1B2392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17" name="Text 3">
          <a:extLst>
            <a:ext uri="{FF2B5EF4-FFF2-40B4-BE49-F238E27FC236}">
              <a16:creationId xmlns:a16="http://schemas.microsoft.com/office/drawing/2014/main" id="{021EEAD0-1CFC-48E2-9B4C-4D5713BDCE1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18" name="Text 3">
          <a:extLst>
            <a:ext uri="{FF2B5EF4-FFF2-40B4-BE49-F238E27FC236}">
              <a16:creationId xmlns:a16="http://schemas.microsoft.com/office/drawing/2014/main" id="{E15DA837-8E7B-4ACE-9CC2-6840793B82D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19" name="Text 3">
          <a:extLst>
            <a:ext uri="{FF2B5EF4-FFF2-40B4-BE49-F238E27FC236}">
              <a16:creationId xmlns:a16="http://schemas.microsoft.com/office/drawing/2014/main" id="{290BFBE7-25F9-4719-ADA5-7A582C2423F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20" name="Text 3">
          <a:extLst>
            <a:ext uri="{FF2B5EF4-FFF2-40B4-BE49-F238E27FC236}">
              <a16:creationId xmlns:a16="http://schemas.microsoft.com/office/drawing/2014/main" id="{EB7C7E7C-EFC1-44FE-BC97-7D7F86FD9EE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21" name="Text 3">
          <a:extLst>
            <a:ext uri="{FF2B5EF4-FFF2-40B4-BE49-F238E27FC236}">
              <a16:creationId xmlns:a16="http://schemas.microsoft.com/office/drawing/2014/main" id="{FC06E5FA-F411-40E8-B80D-9D88F739479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22" name="Text 3">
          <a:extLst>
            <a:ext uri="{FF2B5EF4-FFF2-40B4-BE49-F238E27FC236}">
              <a16:creationId xmlns:a16="http://schemas.microsoft.com/office/drawing/2014/main" id="{404DE82C-D5CF-4994-9F04-A96307B5E8E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23" name="Text 3">
          <a:extLst>
            <a:ext uri="{FF2B5EF4-FFF2-40B4-BE49-F238E27FC236}">
              <a16:creationId xmlns:a16="http://schemas.microsoft.com/office/drawing/2014/main" id="{06163DFB-1907-4D3A-BBF1-18B73E6B9F3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24" name="Text 3">
          <a:extLst>
            <a:ext uri="{FF2B5EF4-FFF2-40B4-BE49-F238E27FC236}">
              <a16:creationId xmlns:a16="http://schemas.microsoft.com/office/drawing/2014/main" id="{10BC686B-AE98-4F92-BBA4-E5B94D2E194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25" name="Text 3">
          <a:extLst>
            <a:ext uri="{FF2B5EF4-FFF2-40B4-BE49-F238E27FC236}">
              <a16:creationId xmlns:a16="http://schemas.microsoft.com/office/drawing/2014/main" id="{CF695624-34BA-4E9E-BD86-8F35D49CDE7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26" name="Text 3">
          <a:extLst>
            <a:ext uri="{FF2B5EF4-FFF2-40B4-BE49-F238E27FC236}">
              <a16:creationId xmlns:a16="http://schemas.microsoft.com/office/drawing/2014/main" id="{23360C39-EF56-4BB4-971E-1E01FF0059B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27" name="Text 3">
          <a:extLst>
            <a:ext uri="{FF2B5EF4-FFF2-40B4-BE49-F238E27FC236}">
              <a16:creationId xmlns:a16="http://schemas.microsoft.com/office/drawing/2014/main" id="{CF0FEC2F-F911-4E83-8EA2-DB55BC75327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28" name="Text 3">
          <a:extLst>
            <a:ext uri="{FF2B5EF4-FFF2-40B4-BE49-F238E27FC236}">
              <a16:creationId xmlns:a16="http://schemas.microsoft.com/office/drawing/2014/main" id="{2F705DB5-B61F-43A3-A57B-25E100D52C0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29" name="Text 3">
          <a:extLst>
            <a:ext uri="{FF2B5EF4-FFF2-40B4-BE49-F238E27FC236}">
              <a16:creationId xmlns:a16="http://schemas.microsoft.com/office/drawing/2014/main" id="{F0E64608-5867-474E-96A5-22C6C806CC3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30" name="Text 3">
          <a:extLst>
            <a:ext uri="{FF2B5EF4-FFF2-40B4-BE49-F238E27FC236}">
              <a16:creationId xmlns:a16="http://schemas.microsoft.com/office/drawing/2014/main" id="{B959C3B8-1963-400F-AF9A-8A0B0ED994D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31" name="Text 3">
          <a:extLst>
            <a:ext uri="{FF2B5EF4-FFF2-40B4-BE49-F238E27FC236}">
              <a16:creationId xmlns:a16="http://schemas.microsoft.com/office/drawing/2014/main" id="{F16AD16A-C33F-44CA-A03A-957BA26FD8C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32" name="Text 3">
          <a:extLst>
            <a:ext uri="{FF2B5EF4-FFF2-40B4-BE49-F238E27FC236}">
              <a16:creationId xmlns:a16="http://schemas.microsoft.com/office/drawing/2014/main" id="{39B9AB25-8373-4B64-9461-EF5D393BF86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33" name="Text 3">
          <a:extLst>
            <a:ext uri="{FF2B5EF4-FFF2-40B4-BE49-F238E27FC236}">
              <a16:creationId xmlns:a16="http://schemas.microsoft.com/office/drawing/2014/main" id="{5181A659-06B1-4B76-BF77-486BD54E5D7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34" name="Text 3">
          <a:extLst>
            <a:ext uri="{FF2B5EF4-FFF2-40B4-BE49-F238E27FC236}">
              <a16:creationId xmlns:a16="http://schemas.microsoft.com/office/drawing/2014/main" id="{2C942867-63CB-4AE2-862C-E45AE5FD8A6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35" name="Text 3">
          <a:extLst>
            <a:ext uri="{FF2B5EF4-FFF2-40B4-BE49-F238E27FC236}">
              <a16:creationId xmlns:a16="http://schemas.microsoft.com/office/drawing/2014/main" id="{3C1B6520-FEC2-4720-8FAB-29138285E67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36" name="Text 3">
          <a:extLst>
            <a:ext uri="{FF2B5EF4-FFF2-40B4-BE49-F238E27FC236}">
              <a16:creationId xmlns:a16="http://schemas.microsoft.com/office/drawing/2014/main" id="{2757F77C-7539-4695-A9A3-A35E9AFB844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37" name="Text 3">
          <a:extLst>
            <a:ext uri="{FF2B5EF4-FFF2-40B4-BE49-F238E27FC236}">
              <a16:creationId xmlns:a16="http://schemas.microsoft.com/office/drawing/2014/main" id="{CD4AEEFD-384C-4309-BF6A-0BCB295DEFA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38" name="Text 3">
          <a:extLst>
            <a:ext uri="{FF2B5EF4-FFF2-40B4-BE49-F238E27FC236}">
              <a16:creationId xmlns:a16="http://schemas.microsoft.com/office/drawing/2014/main" id="{7FE6CC6F-0244-4206-B01B-B19B80576B4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39" name="Text 3">
          <a:extLst>
            <a:ext uri="{FF2B5EF4-FFF2-40B4-BE49-F238E27FC236}">
              <a16:creationId xmlns:a16="http://schemas.microsoft.com/office/drawing/2014/main" id="{4545B680-8925-4B3B-9C97-52B558EB07E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40" name="Text 3">
          <a:extLst>
            <a:ext uri="{FF2B5EF4-FFF2-40B4-BE49-F238E27FC236}">
              <a16:creationId xmlns:a16="http://schemas.microsoft.com/office/drawing/2014/main" id="{91A7590E-A502-46F5-A286-4157462FF02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41" name="Text 3">
          <a:extLst>
            <a:ext uri="{FF2B5EF4-FFF2-40B4-BE49-F238E27FC236}">
              <a16:creationId xmlns:a16="http://schemas.microsoft.com/office/drawing/2014/main" id="{C8364041-0018-4FAE-98AC-AE0180E0B92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42" name="Text 3">
          <a:extLst>
            <a:ext uri="{FF2B5EF4-FFF2-40B4-BE49-F238E27FC236}">
              <a16:creationId xmlns:a16="http://schemas.microsoft.com/office/drawing/2014/main" id="{13BAB369-C219-45BE-86EC-948301CAC36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43" name="Text 3">
          <a:extLst>
            <a:ext uri="{FF2B5EF4-FFF2-40B4-BE49-F238E27FC236}">
              <a16:creationId xmlns:a16="http://schemas.microsoft.com/office/drawing/2014/main" id="{DC9E8005-D3F5-48E0-BF17-07D7FD9C224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44" name="Text 3">
          <a:extLst>
            <a:ext uri="{FF2B5EF4-FFF2-40B4-BE49-F238E27FC236}">
              <a16:creationId xmlns:a16="http://schemas.microsoft.com/office/drawing/2014/main" id="{4CA076C1-CDB0-4257-A70A-3A1C1462D8C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45" name="Text 3">
          <a:extLst>
            <a:ext uri="{FF2B5EF4-FFF2-40B4-BE49-F238E27FC236}">
              <a16:creationId xmlns:a16="http://schemas.microsoft.com/office/drawing/2014/main" id="{F297E8C2-6942-46ED-8C70-8A6F1871C0B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46" name="Text 3">
          <a:extLst>
            <a:ext uri="{FF2B5EF4-FFF2-40B4-BE49-F238E27FC236}">
              <a16:creationId xmlns:a16="http://schemas.microsoft.com/office/drawing/2014/main" id="{C9490945-8F75-4538-8E04-0772FE3D7A3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47" name="Text 3">
          <a:extLst>
            <a:ext uri="{FF2B5EF4-FFF2-40B4-BE49-F238E27FC236}">
              <a16:creationId xmlns:a16="http://schemas.microsoft.com/office/drawing/2014/main" id="{F79D55BF-4093-4748-A2B7-3ADFA2E03D0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48" name="Text 3">
          <a:extLst>
            <a:ext uri="{FF2B5EF4-FFF2-40B4-BE49-F238E27FC236}">
              <a16:creationId xmlns:a16="http://schemas.microsoft.com/office/drawing/2014/main" id="{8E51FEC9-10B8-48E8-80E9-B6D3199464C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49" name="Text 3">
          <a:extLst>
            <a:ext uri="{FF2B5EF4-FFF2-40B4-BE49-F238E27FC236}">
              <a16:creationId xmlns:a16="http://schemas.microsoft.com/office/drawing/2014/main" id="{75C5267C-F149-4AC6-B444-A266A5AB02C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50" name="Text 3">
          <a:extLst>
            <a:ext uri="{FF2B5EF4-FFF2-40B4-BE49-F238E27FC236}">
              <a16:creationId xmlns:a16="http://schemas.microsoft.com/office/drawing/2014/main" id="{2BF1D4ED-40EB-48BC-8A4F-1F81D2A813D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51" name="Text 3">
          <a:extLst>
            <a:ext uri="{FF2B5EF4-FFF2-40B4-BE49-F238E27FC236}">
              <a16:creationId xmlns:a16="http://schemas.microsoft.com/office/drawing/2014/main" id="{CF2E15DE-1367-4D9A-AF05-98F0CF10A40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52" name="Text 3">
          <a:extLst>
            <a:ext uri="{FF2B5EF4-FFF2-40B4-BE49-F238E27FC236}">
              <a16:creationId xmlns:a16="http://schemas.microsoft.com/office/drawing/2014/main" id="{EDE715C7-FFE0-4F02-BDF9-5B3D5B06ACD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53" name="Text 3">
          <a:extLst>
            <a:ext uri="{FF2B5EF4-FFF2-40B4-BE49-F238E27FC236}">
              <a16:creationId xmlns:a16="http://schemas.microsoft.com/office/drawing/2014/main" id="{E762B1D9-3D51-4E3F-B07D-3442D0BDD20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54" name="Text 3">
          <a:extLst>
            <a:ext uri="{FF2B5EF4-FFF2-40B4-BE49-F238E27FC236}">
              <a16:creationId xmlns:a16="http://schemas.microsoft.com/office/drawing/2014/main" id="{F7F2243F-A7CC-4BC8-8DDD-DDE09ADE3E2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55" name="Text 3">
          <a:extLst>
            <a:ext uri="{FF2B5EF4-FFF2-40B4-BE49-F238E27FC236}">
              <a16:creationId xmlns:a16="http://schemas.microsoft.com/office/drawing/2014/main" id="{A8339A1A-816F-43A6-BAF3-7678AE4E21B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56" name="Text 3">
          <a:extLst>
            <a:ext uri="{FF2B5EF4-FFF2-40B4-BE49-F238E27FC236}">
              <a16:creationId xmlns:a16="http://schemas.microsoft.com/office/drawing/2014/main" id="{C563445E-A7E8-4F8E-91B3-9D1BCD79AB1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57" name="Text 3">
          <a:extLst>
            <a:ext uri="{FF2B5EF4-FFF2-40B4-BE49-F238E27FC236}">
              <a16:creationId xmlns:a16="http://schemas.microsoft.com/office/drawing/2014/main" id="{D6D4A8F3-C1BD-4EA8-B89D-8AD255E82CF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58" name="Text 3">
          <a:extLst>
            <a:ext uri="{FF2B5EF4-FFF2-40B4-BE49-F238E27FC236}">
              <a16:creationId xmlns:a16="http://schemas.microsoft.com/office/drawing/2014/main" id="{D240C26B-A720-4EF7-B070-F222E3B360A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59" name="Text 3">
          <a:extLst>
            <a:ext uri="{FF2B5EF4-FFF2-40B4-BE49-F238E27FC236}">
              <a16:creationId xmlns:a16="http://schemas.microsoft.com/office/drawing/2014/main" id="{7BA8FDAE-549B-4D93-9B5C-D515B83B84C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60" name="Text 3">
          <a:extLst>
            <a:ext uri="{FF2B5EF4-FFF2-40B4-BE49-F238E27FC236}">
              <a16:creationId xmlns:a16="http://schemas.microsoft.com/office/drawing/2014/main" id="{C305A06C-5ED0-4622-B2A3-DE24038591C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61" name="Text 3">
          <a:extLst>
            <a:ext uri="{FF2B5EF4-FFF2-40B4-BE49-F238E27FC236}">
              <a16:creationId xmlns:a16="http://schemas.microsoft.com/office/drawing/2014/main" id="{21833240-CD41-44B0-9E35-7BD8738BCFD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62" name="Text 3">
          <a:extLst>
            <a:ext uri="{FF2B5EF4-FFF2-40B4-BE49-F238E27FC236}">
              <a16:creationId xmlns:a16="http://schemas.microsoft.com/office/drawing/2014/main" id="{C7A23977-0CDD-4942-BFC9-A5419A2F9C9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63" name="Text 3">
          <a:extLst>
            <a:ext uri="{FF2B5EF4-FFF2-40B4-BE49-F238E27FC236}">
              <a16:creationId xmlns:a16="http://schemas.microsoft.com/office/drawing/2014/main" id="{F1F04554-B144-432F-90FF-E2F16EB13A4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64" name="Text 3">
          <a:extLst>
            <a:ext uri="{FF2B5EF4-FFF2-40B4-BE49-F238E27FC236}">
              <a16:creationId xmlns:a16="http://schemas.microsoft.com/office/drawing/2014/main" id="{9C93B85E-8956-423B-86D9-D3D053EC7FA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65" name="Text 3">
          <a:extLst>
            <a:ext uri="{FF2B5EF4-FFF2-40B4-BE49-F238E27FC236}">
              <a16:creationId xmlns:a16="http://schemas.microsoft.com/office/drawing/2014/main" id="{12F4E9B5-4F72-4A12-8588-248941348C9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66" name="Text 3">
          <a:extLst>
            <a:ext uri="{FF2B5EF4-FFF2-40B4-BE49-F238E27FC236}">
              <a16:creationId xmlns:a16="http://schemas.microsoft.com/office/drawing/2014/main" id="{2EB54A80-8905-4DEC-ABEF-8756D668446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67" name="Text 3">
          <a:extLst>
            <a:ext uri="{FF2B5EF4-FFF2-40B4-BE49-F238E27FC236}">
              <a16:creationId xmlns:a16="http://schemas.microsoft.com/office/drawing/2014/main" id="{50C4A527-DFC7-4E3A-BBF1-58F7B66C4D3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68" name="Text 3">
          <a:extLst>
            <a:ext uri="{FF2B5EF4-FFF2-40B4-BE49-F238E27FC236}">
              <a16:creationId xmlns:a16="http://schemas.microsoft.com/office/drawing/2014/main" id="{005134BE-B835-4778-A9B9-DF5DFEA2A57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69" name="Text 3">
          <a:extLst>
            <a:ext uri="{FF2B5EF4-FFF2-40B4-BE49-F238E27FC236}">
              <a16:creationId xmlns:a16="http://schemas.microsoft.com/office/drawing/2014/main" id="{1AAC610F-5B1F-4234-96E2-D8A8086EBDD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70" name="Text 3">
          <a:extLst>
            <a:ext uri="{FF2B5EF4-FFF2-40B4-BE49-F238E27FC236}">
              <a16:creationId xmlns:a16="http://schemas.microsoft.com/office/drawing/2014/main" id="{F8C1C461-6286-40AD-89E0-D6706D0122C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71" name="Text 3">
          <a:extLst>
            <a:ext uri="{FF2B5EF4-FFF2-40B4-BE49-F238E27FC236}">
              <a16:creationId xmlns:a16="http://schemas.microsoft.com/office/drawing/2014/main" id="{F63CACA6-0918-4A4B-B4F1-C687E70F842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72" name="Text 3">
          <a:extLst>
            <a:ext uri="{FF2B5EF4-FFF2-40B4-BE49-F238E27FC236}">
              <a16:creationId xmlns:a16="http://schemas.microsoft.com/office/drawing/2014/main" id="{C14CD4B3-70FB-4DFF-8F7C-DA52A401CD8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73" name="Text 3">
          <a:extLst>
            <a:ext uri="{FF2B5EF4-FFF2-40B4-BE49-F238E27FC236}">
              <a16:creationId xmlns:a16="http://schemas.microsoft.com/office/drawing/2014/main" id="{8BFD2EA6-0772-4B25-B378-894AC18F7B3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74" name="Text 3">
          <a:extLst>
            <a:ext uri="{FF2B5EF4-FFF2-40B4-BE49-F238E27FC236}">
              <a16:creationId xmlns:a16="http://schemas.microsoft.com/office/drawing/2014/main" id="{D070AB36-9D3B-4C10-B522-01A58AE50ED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75" name="Text 3">
          <a:extLst>
            <a:ext uri="{FF2B5EF4-FFF2-40B4-BE49-F238E27FC236}">
              <a16:creationId xmlns:a16="http://schemas.microsoft.com/office/drawing/2014/main" id="{0A9A1563-16A9-4CA4-B301-07DBD5DA31B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76" name="Text 3">
          <a:extLst>
            <a:ext uri="{FF2B5EF4-FFF2-40B4-BE49-F238E27FC236}">
              <a16:creationId xmlns:a16="http://schemas.microsoft.com/office/drawing/2014/main" id="{B9AC3DB7-B5BB-49C5-B904-0A6CB28FFBB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77" name="Text 3">
          <a:extLst>
            <a:ext uri="{FF2B5EF4-FFF2-40B4-BE49-F238E27FC236}">
              <a16:creationId xmlns:a16="http://schemas.microsoft.com/office/drawing/2014/main" id="{DE67CC86-3CBA-4108-84E9-3D2B6AF0354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78" name="Text 3">
          <a:extLst>
            <a:ext uri="{FF2B5EF4-FFF2-40B4-BE49-F238E27FC236}">
              <a16:creationId xmlns:a16="http://schemas.microsoft.com/office/drawing/2014/main" id="{625F54FE-0C52-4417-B01F-58742DAB66D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79" name="Text 3">
          <a:extLst>
            <a:ext uri="{FF2B5EF4-FFF2-40B4-BE49-F238E27FC236}">
              <a16:creationId xmlns:a16="http://schemas.microsoft.com/office/drawing/2014/main" id="{74428601-668E-4385-9F84-D8727DE5BA0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80" name="Text 3">
          <a:extLst>
            <a:ext uri="{FF2B5EF4-FFF2-40B4-BE49-F238E27FC236}">
              <a16:creationId xmlns:a16="http://schemas.microsoft.com/office/drawing/2014/main" id="{99188D80-0D48-429F-B66B-5A439668D18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81" name="Text 3">
          <a:extLst>
            <a:ext uri="{FF2B5EF4-FFF2-40B4-BE49-F238E27FC236}">
              <a16:creationId xmlns:a16="http://schemas.microsoft.com/office/drawing/2014/main" id="{76C40B87-5A22-4C2D-AF46-5E85969FF3E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82" name="Text 3">
          <a:extLst>
            <a:ext uri="{FF2B5EF4-FFF2-40B4-BE49-F238E27FC236}">
              <a16:creationId xmlns:a16="http://schemas.microsoft.com/office/drawing/2014/main" id="{3F9B2FE7-095A-4621-ACB4-8E03F96D095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83" name="Text 3">
          <a:extLst>
            <a:ext uri="{FF2B5EF4-FFF2-40B4-BE49-F238E27FC236}">
              <a16:creationId xmlns:a16="http://schemas.microsoft.com/office/drawing/2014/main" id="{13160FB0-2A7A-4B2F-A0D3-787496E1743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84" name="Text 3">
          <a:extLst>
            <a:ext uri="{FF2B5EF4-FFF2-40B4-BE49-F238E27FC236}">
              <a16:creationId xmlns:a16="http://schemas.microsoft.com/office/drawing/2014/main" id="{C61931E6-DD4D-4C9D-A42A-AA439DDE661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85" name="Text 3">
          <a:extLst>
            <a:ext uri="{FF2B5EF4-FFF2-40B4-BE49-F238E27FC236}">
              <a16:creationId xmlns:a16="http://schemas.microsoft.com/office/drawing/2014/main" id="{C18624A8-68B2-4E5E-A61C-84885581B03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86" name="Text 3">
          <a:extLst>
            <a:ext uri="{FF2B5EF4-FFF2-40B4-BE49-F238E27FC236}">
              <a16:creationId xmlns:a16="http://schemas.microsoft.com/office/drawing/2014/main" id="{2ED7259C-32E1-4AF7-BB2F-F0A5317EBBC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87" name="Text 3">
          <a:extLst>
            <a:ext uri="{FF2B5EF4-FFF2-40B4-BE49-F238E27FC236}">
              <a16:creationId xmlns:a16="http://schemas.microsoft.com/office/drawing/2014/main" id="{0676687F-8391-4EF0-8FB0-280A5A5FC52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88" name="Text 3">
          <a:extLst>
            <a:ext uri="{FF2B5EF4-FFF2-40B4-BE49-F238E27FC236}">
              <a16:creationId xmlns:a16="http://schemas.microsoft.com/office/drawing/2014/main" id="{DCC712E6-5934-4D75-A709-467E689C18A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89" name="Text 3">
          <a:extLst>
            <a:ext uri="{FF2B5EF4-FFF2-40B4-BE49-F238E27FC236}">
              <a16:creationId xmlns:a16="http://schemas.microsoft.com/office/drawing/2014/main" id="{5379E1DE-FB0A-4AAB-B562-DE606CEB6CF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90" name="Text 3">
          <a:extLst>
            <a:ext uri="{FF2B5EF4-FFF2-40B4-BE49-F238E27FC236}">
              <a16:creationId xmlns:a16="http://schemas.microsoft.com/office/drawing/2014/main" id="{41EDC362-1CE3-416D-B36D-78462F0E0CE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91" name="Text 3">
          <a:extLst>
            <a:ext uri="{FF2B5EF4-FFF2-40B4-BE49-F238E27FC236}">
              <a16:creationId xmlns:a16="http://schemas.microsoft.com/office/drawing/2014/main" id="{A725BB0C-F46E-467C-AE68-6A02270F478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92" name="Text 3">
          <a:extLst>
            <a:ext uri="{FF2B5EF4-FFF2-40B4-BE49-F238E27FC236}">
              <a16:creationId xmlns:a16="http://schemas.microsoft.com/office/drawing/2014/main" id="{5A81CCB0-94AD-43CF-969D-3CE47963BFF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93" name="Text 3">
          <a:extLst>
            <a:ext uri="{FF2B5EF4-FFF2-40B4-BE49-F238E27FC236}">
              <a16:creationId xmlns:a16="http://schemas.microsoft.com/office/drawing/2014/main" id="{0043F111-EBC7-4550-941A-B9B49E89279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94" name="Text 3">
          <a:extLst>
            <a:ext uri="{FF2B5EF4-FFF2-40B4-BE49-F238E27FC236}">
              <a16:creationId xmlns:a16="http://schemas.microsoft.com/office/drawing/2014/main" id="{78183CF2-2FD9-481F-B36A-B73EA8B0A87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95" name="Text 3">
          <a:extLst>
            <a:ext uri="{FF2B5EF4-FFF2-40B4-BE49-F238E27FC236}">
              <a16:creationId xmlns:a16="http://schemas.microsoft.com/office/drawing/2014/main" id="{2C84818D-A310-41E8-9DB9-41B73F1E4BF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96" name="Text 3">
          <a:extLst>
            <a:ext uri="{FF2B5EF4-FFF2-40B4-BE49-F238E27FC236}">
              <a16:creationId xmlns:a16="http://schemas.microsoft.com/office/drawing/2014/main" id="{E50AD3B4-B003-42D4-8FB3-8F4F3FD8A3F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797" name="Text 3">
          <a:extLst>
            <a:ext uri="{FF2B5EF4-FFF2-40B4-BE49-F238E27FC236}">
              <a16:creationId xmlns:a16="http://schemas.microsoft.com/office/drawing/2014/main" id="{0C40051D-8E1D-4615-8787-31E567BF92D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798" name="Text 3">
          <a:extLst>
            <a:ext uri="{FF2B5EF4-FFF2-40B4-BE49-F238E27FC236}">
              <a16:creationId xmlns:a16="http://schemas.microsoft.com/office/drawing/2014/main" id="{FB4EEE19-CCC5-4B78-9DEA-80582CB68D3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799" name="Text 3">
          <a:extLst>
            <a:ext uri="{FF2B5EF4-FFF2-40B4-BE49-F238E27FC236}">
              <a16:creationId xmlns:a16="http://schemas.microsoft.com/office/drawing/2014/main" id="{58F97A21-0FA2-4FD3-8BF5-001782621C7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00" name="Text 3">
          <a:extLst>
            <a:ext uri="{FF2B5EF4-FFF2-40B4-BE49-F238E27FC236}">
              <a16:creationId xmlns:a16="http://schemas.microsoft.com/office/drawing/2014/main" id="{B92E1331-992D-4F14-A1E5-C6616BD053E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01" name="Text 3">
          <a:extLst>
            <a:ext uri="{FF2B5EF4-FFF2-40B4-BE49-F238E27FC236}">
              <a16:creationId xmlns:a16="http://schemas.microsoft.com/office/drawing/2014/main" id="{FEFAB2F9-67F4-4D87-9559-E61A3C18FCE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02" name="Text 3">
          <a:extLst>
            <a:ext uri="{FF2B5EF4-FFF2-40B4-BE49-F238E27FC236}">
              <a16:creationId xmlns:a16="http://schemas.microsoft.com/office/drawing/2014/main" id="{B9D8ADDC-84EB-4388-88A9-E1035F528D6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03" name="Text 3">
          <a:extLst>
            <a:ext uri="{FF2B5EF4-FFF2-40B4-BE49-F238E27FC236}">
              <a16:creationId xmlns:a16="http://schemas.microsoft.com/office/drawing/2014/main" id="{A983C66B-27C4-4CD7-A34B-D4B6F50678C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04" name="Text 3">
          <a:extLst>
            <a:ext uri="{FF2B5EF4-FFF2-40B4-BE49-F238E27FC236}">
              <a16:creationId xmlns:a16="http://schemas.microsoft.com/office/drawing/2014/main" id="{B539E963-0D3D-4A0B-B9AD-E979CFE55D4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05" name="Text 3">
          <a:extLst>
            <a:ext uri="{FF2B5EF4-FFF2-40B4-BE49-F238E27FC236}">
              <a16:creationId xmlns:a16="http://schemas.microsoft.com/office/drawing/2014/main" id="{A5CCC958-4CF0-4A6E-A1FE-300EDC3FB73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06" name="Text 3">
          <a:extLst>
            <a:ext uri="{FF2B5EF4-FFF2-40B4-BE49-F238E27FC236}">
              <a16:creationId xmlns:a16="http://schemas.microsoft.com/office/drawing/2014/main" id="{E98DCB76-E1F1-4A04-B2AE-84122AD44A3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07" name="Text 3">
          <a:extLst>
            <a:ext uri="{FF2B5EF4-FFF2-40B4-BE49-F238E27FC236}">
              <a16:creationId xmlns:a16="http://schemas.microsoft.com/office/drawing/2014/main" id="{BDD05C9B-7C6C-488B-B342-01382EA7876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08" name="Text 3">
          <a:extLst>
            <a:ext uri="{FF2B5EF4-FFF2-40B4-BE49-F238E27FC236}">
              <a16:creationId xmlns:a16="http://schemas.microsoft.com/office/drawing/2014/main" id="{D7F5E433-45A5-4C54-8D2A-BCFC15926EF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09" name="Text 3">
          <a:extLst>
            <a:ext uri="{FF2B5EF4-FFF2-40B4-BE49-F238E27FC236}">
              <a16:creationId xmlns:a16="http://schemas.microsoft.com/office/drawing/2014/main" id="{4FEF900C-59F4-4998-A876-F058AEE9D0D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10" name="Text 3">
          <a:extLst>
            <a:ext uri="{FF2B5EF4-FFF2-40B4-BE49-F238E27FC236}">
              <a16:creationId xmlns:a16="http://schemas.microsoft.com/office/drawing/2014/main" id="{A94A8683-9BEA-402F-936D-C2070DD38DC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11" name="Text 3">
          <a:extLst>
            <a:ext uri="{FF2B5EF4-FFF2-40B4-BE49-F238E27FC236}">
              <a16:creationId xmlns:a16="http://schemas.microsoft.com/office/drawing/2014/main" id="{0F638470-2606-4553-AEA4-999A8924481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12" name="Text 3">
          <a:extLst>
            <a:ext uri="{FF2B5EF4-FFF2-40B4-BE49-F238E27FC236}">
              <a16:creationId xmlns:a16="http://schemas.microsoft.com/office/drawing/2014/main" id="{DC6ABC77-EE77-49D7-A795-3BEE18C367F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13" name="Text 3">
          <a:extLst>
            <a:ext uri="{FF2B5EF4-FFF2-40B4-BE49-F238E27FC236}">
              <a16:creationId xmlns:a16="http://schemas.microsoft.com/office/drawing/2014/main" id="{508449E4-FFC5-4050-A31B-51437AEBC82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14" name="Text 3">
          <a:extLst>
            <a:ext uri="{FF2B5EF4-FFF2-40B4-BE49-F238E27FC236}">
              <a16:creationId xmlns:a16="http://schemas.microsoft.com/office/drawing/2014/main" id="{3D03694B-265F-4A68-ADEE-C122CF745C2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15" name="Text 3">
          <a:extLst>
            <a:ext uri="{FF2B5EF4-FFF2-40B4-BE49-F238E27FC236}">
              <a16:creationId xmlns:a16="http://schemas.microsoft.com/office/drawing/2014/main" id="{EC88476A-B2F7-4441-A1FA-EF85888978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16" name="Text 3">
          <a:extLst>
            <a:ext uri="{FF2B5EF4-FFF2-40B4-BE49-F238E27FC236}">
              <a16:creationId xmlns:a16="http://schemas.microsoft.com/office/drawing/2014/main" id="{A80A5F84-6C9F-4C51-97D1-C8A80ED352B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17" name="Text 3">
          <a:extLst>
            <a:ext uri="{FF2B5EF4-FFF2-40B4-BE49-F238E27FC236}">
              <a16:creationId xmlns:a16="http://schemas.microsoft.com/office/drawing/2014/main" id="{3E5BDF59-05A6-4B03-8AE8-722B049AA29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18" name="Text 3">
          <a:extLst>
            <a:ext uri="{FF2B5EF4-FFF2-40B4-BE49-F238E27FC236}">
              <a16:creationId xmlns:a16="http://schemas.microsoft.com/office/drawing/2014/main" id="{F93225E3-A95F-48E4-9ED0-7260600559E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19" name="Text 3">
          <a:extLst>
            <a:ext uri="{FF2B5EF4-FFF2-40B4-BE49-F238E27FC236}">
              <a16:creationId xmlns:a16="http://schemas.microsoft.com/office/drawing/2014/main" id="{00CC4645-3F7E-424C-9572-66094DD8F73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20" name="Text 3">
          <a:extLst>
            <a:ext uri="{FF2B5EF4-FFF2-40B4-BE49-F238E27FC236}">
              <a16:creationId xmlns:a16="http://schemas.microsoft.com/office/drawing/2014/main" id="{210F7F23-4F47-4225-BF9B-C4BF419F99B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21" name="Text 3">
          <a:extLst>
            <a:ext uri="{FF2B5EF4-FFF2-40B4-BE49-F238E27FC236}">
              <a16:creationId xmlns:a16="http://schemas.microsoft.com/office/drawing/2014/main" id="{146D8B6F-7DD3-4C1A-B2F2-E1555708217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22" name="Text 3">
          <a:extLst>
            <a:ext uri="{FF2B5EF4-FFF2-40B4-BE49-F238E27FC236}">
              <a16:creationId xmlns:a16="http://schemas.microsoft.com/office/drawing/2014/main" id="{EA9A681C-4250-4C3A-B306-2D30C5E698E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23" name="Text 3">
          <a:extLst>
            <a:ext uri="{FF2B5EF4-FFF2-40B4-BE49-F238E27FC236}">
              <a16:creationId xmlns:a16="http://schemas.microsoft.com/office/drawing/2014/main" id="{1176AAEB-3A09-45C9-8E43-F4CCE684E1A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24" name="Text 3">
          <a:extLst>
            <a:ext uri="{FF2B5EF4-FFF2-40B4-BE49-F238E27FC236}">
              <a16:creationId xmlns:a16="http://schemas.microsoft.com/office/drawing/2014/main" id="{2804D1A8-6CF8-4857-9A8C-9FFBB5037AC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25" name="Text 3">
          <a:extLst>
            <a:ext uri="{FF2B5EF4-FFF2-40B4-BE49-F238E27FC236}">
              <a16:creationId xmlns:a16="http://schemas.microsoft.com/office/drawing/2014/main" id="{F135B801-DCAC-47A0-886A-5AF6F0D8322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26" name="Text 3">
          <a:extLst>
            <a:ext uri="{FF2B5EF4-FFF2-40B4-BE49-F238E27FC236}">
              <a16:creationId xmlns:a16="http://schemas.microsoft.com/office/drawing/2014/main" id="{C956A668-6E4B-474C-8F0E-174EF83DF54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27" name="Text 3">
          <a:extLst>
            <a:ext uri="{FF2B5EF4-FFF2-40B4-BE49-F238E27FC236}">
              <a16:creationId xmlns:a16="http://schemas.microsoft.com/office/drawing/2014/main" id="{F679DF8C-E465-4A65-BA78-C85247B9DCC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28" name="Text 3">
          <a:extLst>
            <a:ext uri="{FF2B5EF4-FFF2-40B4-BE49-F238E27FC236}">
              <a16:creationId xmlns:a16="http://schemas.microsoft.com/office/drawing/2014/main" id="{C298D91E-67D5-463E-A8FB-E56A3C14C98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29" name="Text 3">
          <a:extLst>
            <a:ext uri="{FF2B5EF4-FFF2-40B4-BE49-F238E27FC236}">
              <a16:creationId xmlns:a16="http://schemas.microsoft.com/office/drawing/2014/main" id="{6622A514-B7F4-43C8-8896-4294E8A7E5E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30" name="Text 3">
          <a:extLst>
            <a:ext uri="{FF2B5EF4-FFF2-40B4-BE49-F238E27FC236}">
              <a16:creationId xmlns:a16="http://schemas.microsoft.com/office/drawing/2014/main" id="{6EA30641-5659-4446-92E0-577157329D1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31" name="Text 3">
          <a:extLst>
            <a:ext uri="{FF2B5EF4-FFF2-40B4-BE49-F238E27FC236}">
              <a16:creationId xmlns:a16="http://schemas.microsoft.com/office/drawing/2014/main" id="{7414C115-EE08-470C-9A72-2A95978B9F3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32" name="Text 3">
          <a:extLst>
            <a:ext uri="{FF2B5EF4-FFF2-40B4-BE49-F238E27FC236}">
              <a16:creationId xmlns:a16="http://schemas.microsoft.com/office/drawing/2014/main" id="{7EEB2B58-2F17-4183-877C-9E1F96D7C21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33" name="Text 3">
          <a:extLst>
            <a:ext uri="{FF2B5EF4-FFF2-40B4-BE49-F238E27FC236}">
              <a16:creationId xmlns:a16="http://schemas.microsoft.com/office/drawing/2014/main" id="{3175B2FF-559F-4D45-9FEB-2B2B3904A79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34" name="Text 3">
          <a:extLst>
            <a:ext uri="{FF2B5EF4-FFF2-40B4-BE49-F238E27FC236}">
              <a16:creationId xmlns:a16="http://schemas.microsoft.com/office/drawing/2014/main" id="{1C21A907-BD7D-4F74-AF3C-6666FB46392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35" name="Text 3">
          <a:extLst>
            <a:ext uri="{FF2B5EF4-FFF2-40B4-BE49-F238E27FC236}">
              <a16:creationId xmlns:a16="http://schemas.microsoft.com/office/drawing/2014/main" id="{FFB50CC0-BEB5-4ECE-9ACC-A0F6A9E8F50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36" name="Text 3">
          <a:extLst>
            <a:ext uri="{FF2B5EF4-FFF2-40B4-BE49-F238E27FC236}">
              <a16:creationId xmlns:a16="http://schemas.microsoft.com/office/drawing/2014/main" id="{0EC1B0BE-DD69-4D24-9786-64A8C35B28D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37" name="Text 3">
          <a:extLst>
            <a:ext uri="{FF2B5EF4-FFF2-40B4-BE49-F238E27FC236}">
              <a16:creationId xmlns:a16="http://schemas.microsoft.com/office/drawing/2014/main" id="{E924AF08-8597-4450-B93D-EC3D149B689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38" name="Text 3">
          <a:extLst>
            <a:ext uri="{FF2B5EF4-FFF2-40B4-BE49-F238E27FC236}">
              <a16:creationId xmlns:a16="http://schemas.microsoft.com/office/drawing/2014/main" id="{554FD214-C98C-4F4D-94FB-34132D2B215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39" name="Text 3">
          <a:extLst>
            <a:ext uri="{FF2B5EF4-FFF2-40B4-BE49-F238E27FC236}">
              <a16:creationId xmlns:a16="http://schemas.microsoft.com/office/drawing/2014/main" id="{C82DF344-575F-46D8-A406-D0B1185653C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40" name="Text 3">
          <a:extLst>
            <a:ext uri="{FF2B5EF4-FFF2-40B4-BE49-F238E27FC236}">
              <a16:creationId xmlns:a16="http://schemas.microsoft.com/office/drawing/2014/main" id="{FDB56CC4-889E-4FD7-862F-3925DE9AA0B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41" name="Text 3">
          <a:extLst>
            <a:ext uri="{FF2B5EF4-FFF2-40B4-BE49-F238E27FC236}">
              <a16:creationId xmlns:a16="http://schemas.microsoft.com/office/drawing/2014/main" id="{34DA9152-7D36-4558-BFFA-598FF09F100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42" name="Text 3">
          <a:extLst>
            <a:ext uri="{FF2B5EF4-FFF2-40B4-BE49-F238E27FC236}">
              <a16:creationId xmlns:a16="http://schemas.microsoft.com/office/drawing/2014/main" id="{BBEFC18D-166C-4477-9F88-0F85DFB86FA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43" name="Text 3">
          <a:extLst>
            <a:ext uri="{FF2B5EF4-FFF2-40B4-BE49-F238E27FC236}">
              <a16:creationId xmlns:a16="http://schemas.microsoft.com/office/drawing/2014/main" id="{ADAC994A-772D-4F6A-BF06-2CDA4FCCDA2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44" name="Text 3">
          <a:extLst>
            <a:ext uri="{FF2B5EF4-FFF2-40B4-BE49-F238E27FC236}">
              <a16:creationId xmlns:a16="http://schemas.microsoft.com/office/drawing/2014/main" id="{73E2A9B3-4C79-4CCC-A603-1416FDD94DC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45" name="Text 3">
          <a:extLst>
            <a:ext uri="{FF2B5EF4-FFF2-40B4-BE49-F238E27FC236}">
              <a16:creationId xmlns:a16="http://schemas.microsoft.com/office/drawing/2014/main" id="{8C167BD8-34C9-4DB2-8E50-62B6B3019D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46" name="Text 3">
          <a:extLst>
            <a:ext uri="{FF2B5EF4-FFF2-40B4-BE49-F238E27FC236}">
              <a16:creationId xmlns:a16="http://schemas.microsoft.com/office/drawing/2014/main" id="{1E479591-98AD-43FC-B503-9720DC9C2F3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47" name="Text 3">
          <a:extLst>
            <a:ext uri="{FF2B5EF4-FFF2-40B4-BE49-F238E27FC236}">
              <a16:creationId xmlns:a16="http://schemas.microsoft.com/office/drawing/2014/main" id="{508DB19B-55B4-4292-8244-6C4C01DA845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48" name="Text 3">
          <a:extLst>
            <a:ext uri="{FF2B5EF4-FFF2-40B4-BE49-F238E27FC236}">
              <a16:creationId xmlns:a16="http://schemas.microsoft.com/office/drawing/2014/main" id="{9ADCAD34-0FDC-47F7-AD6B-B20D3A5D51A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49" name="Text 3">
          <a:extLst>
            <a:ext uri="{FF2B5EF4-FFF2-40B4-BE49-F238E27FC236}">
              <a16:creationId xmlns:a16="http://schemas.microsoft.com/office/drawing/2014/main" id="{D977CC00-2E53-44A3-B73C-70A44C19502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50" name="Text 3">
          <a:extLst>
            <a:ext uri="{FF2B5EF4-FFF2-40B4-BE49-F238E27FC236}">
              <a16:creationId xmlns:a16="http://schemas.microsoft.com/office/drawing/2014/main" id="{B03C8441-CAB2-4C0C-9A54-A5C1103D116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51" name="Text 3">
          <a:extLst>
            <a:ext uri="{FF2B5EF4-FFF2-40B4-BE49-F238E27FC236}">
              <a16:creationId xmlns:a16="http://schemas.microsoft.com/office/drawing/2014/main" id="{D48097CF-072A-41D7-A301-4C43FC3285A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52" name="Text 3">
          <a:extLst>
            <a:ext uri="{FF2B5EF4-FFF2-40B4-BE49-F238E27FC236}">
              <a16:creationId xmlns:a16="http://schemas.microsoft.com/office/drawing/2014/main" id="{4632C11C-ED2E-48CD-BFD1-663BC2DC3BE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53" name="Text 3">
          <a:extLst>
            <a:ext uri="{FF2B5EF4-FFF2-40B4-BE49-F238E27FC236}">
              <a16:creationId xmlns:a16="http://schemas.microsoft.com/office/drawing/2014/main" id="{004E7F96-961C-46F8-8995-73513B7F421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54" name="Text 3">
          <a:extLst>
            <a:ext uri="{FF2B5EF4-FFF2-40B4-BE49-F238E27FC236}">
              <a16:creationId xmlns:a16="http://schemas.microsoft.com/office/drawing/2014/main" id="{45DB8C93-12FE-4636-9EFA-DDBCC3A9861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55" name="Text 3">
          <a:extLst>
            <a:ext uri="{FF2B5EF4-FFF2-40B4-BE49-F238E27FC236}">
              <a16:creationId xmlns:a16="http://schemas.microsoft.com/office/drawing/2014/main" id="{215B7714-0B08-4868-918D-7329B8D819B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56" name="Text 3">
          <a:extLst>
            <a:ext uri="{FF2B5EF4-FFF2-40B4-BE49-F238E27FC236}">
              <a16:creationId xmlns:a16="http://schemas.microsoft.com/office/drawing/2014/main" id="{B344F2A2-8CFF-4703-80A7-D1B047B2DE2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57" name="Text 3">
          <a:extLst>
            <a:ext uri="{FF2B5EF4-FFF2-40B4-BE49-F238E27FC236}">
              <a16:creationId xmlns:a16="http://schemas.microsoft.com/office/drawing/2014/main" id="{3D60A8A7-2FE9-46BC-91F0-E605C788F54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58" name="Text 3">
          <a:extLst>
            <a:ext uri="{FF2B5EF4-FFF2-40B4-BE49-F238E27FC236}">
              <a16:creationId xmlns:a16="http://schemas.microsoft.com/office/drawing/2014/main" id="{66DDE524-5C2C-4FC3-8B4B-28F20F86FE0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59" name="Text 3">
          <a:extLst>
            <a:ext uri="{FF2B5EF4-FFF2-40B4-BE49-F238E27FC236}">
              <a16:creationId xmlns:a16="http://schemas.microsoft.com/office/drawing/2014/main" id="{78C5A78B-0CE2-4CC0-9BBC-00DB5CA858F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60" name="Text 3">
          <a:extLst>
            <a:ext uri="{FF2B5EF4-FFF2-40B4-BE49-F238E27FC236}">
              <a16:creationId xmlns:a16="http://schemas.microsoft.com/office/drawing/2014/main" id="{E52840F0-101A-4A38-9620-9445B26BE9C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61" name="Text 3">
          <a:extLst>
            <a:ext uri="{FF2B5EF4-FFF2-40B4-BE49-F238E27FC236}">
              <a16:creationId xmlns:a16="http://schemas.microsoft.com/office/drawing/2014/main" id="{C72292C1-474D-49FD-AE6C-D0D3AAEF5F1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62" name="Text 3">
          <a:extLst>
            <a:ext uri="{FF2B5EF4-FFF2-40B4-BE49-F238E27FC236}">
              <a16:creationId xmlns:a16="http://schemas.microsoft.com/office/drawing/2014/main" id="{15AE2B9B-E41F-47CA-9689-A280FD6F7E4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63" name="Text 3">
          <a:extLst>
            <a:ext uri="{FF2B5EF4-FFF2-40B4-BE49-F238E27FC236}">
              <a16:creationId xmlns:a16="http://schemas.microsoft.com/office/drawing/2014/main" id="{2B133452-F8C3-49DD-A801-45365E26899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64" name="Text 3">
          <a:extLst>
            <a:ext uri="{FF2B5EF4-FFF2-40B4-BE49-F238E27FC236}">
              <a16:creationId xmlns:a16="http://schemas.microsoft.com/office/drawing/2014/main" id="{E4186888-921F-4A6D-83E9-1395E97F75A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65" name="Text 3">
          <a:extLst>
            <a:ext uri="{FF2B5EF4-FFF2-40B4-BE49-F238E27FC236}">
              <a16:creationId xmlns:a16="http://schemas.microsoft.com/office/drawing/2014/main" id="{2A80639E-1604-421D-AD7F-4AFDF4305CE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66" name="Text 3">
          <a:extLst>
            <a:ext uri="{FF2B5EF4-FFF2-40B4-BE49-F238E27FC236}">
              <a16:creationId xmlns:a16="http://schemas.microsoft.com/office/drawing/2014/main" id="{3B0D5E35-7EC6-45DD-A9D1-CEAFD6A55F8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67" name="Text 3">
          <a:extLst>
            <a:ext uri="{FF2B5EF4-FFF2-40B4-BE49-F238E27FC236}">
              <a16:creationId xmlns:a16="http://schemas.microsoft.com/office/drawing/2014/main" id="{3E6E1559-44D3-44A9-BB58-CF3CFEC5F65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68" name="Text 3">
          <a:extLst>
            <a:ext uri="{FF2B5EF4-FFF2-40B4-BE49-F238E27FC236}">
              <a16:creationId xmlns:a16="http://schemas.microsoft.com/office/drawing/2014/main" id="{4CF82672-584B-4382-A975-CAC5D2854B9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69" name="Text 3">
          <a:extLst>
            <a:ext uri="{FF2B5EF4-FFF2-40B4-BE49-F238E27FC236}">
              <a16:creationId xmlns:a16="http://schemas.microsoft.com/office/drawing/2014/main" id="{FE1E73A2-D255-4174-B577-275C0FFC718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70" name="Text 3">
          <a:extLst>
            <a:ext uri="{FF2B5EF4-FFF2-40B4-BE49-F238E27FC236}">
              <a16:creationId xmlns:a16="http://schemas.microsoft.com/office/drawing/2014/main" id="{76E29601-C527-4360-AF44-C567FE491B7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71" name="Text 3">
          <a:extLst>
            <a:ext uri="{FF2B5EF4-FFF2-40B4-BE49-F238E27FC236}">
              <a16:creationId xmlns:a16="http://schemas.microsoft.com/office/drawing/2014/main" id="{8F53F2B2-6F7D-45EA-850C-320492D417B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72" name="Text 3">
          <a:extLst>
            <a:ext uri="{FF2B5EF4-FFF2-40B4-BE49-F238E27FC236}">
              <a16:creationId xmlns:a16="http://schemas.microsoft.com/office/drawing/2014/main" id="{6D1CADE9-6014-4C2A-BAF8-A974BFBE7FA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73" name="Text 3">
          <a:extLst>
            <a:ext uri="{FF2B5EF4-FFF2-40B4-BE49-F238E27FC236}">
              <a16:creationId xmlns:a16="http://schemas.microsoft.com/office/drawing/2014/main" id="{BC22FB35-CFBC-43A3-A3CC-3C5245DD48A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74" name="Text 3">
          <a:extLst>
            <a:ext uri="{FF2B5EF4-FFF2-40B4-BE49-F238E27FC236}">
              <a16:creationId xmlns:a16="http://schemas.microsoft.com/office/drawing/2014/main" id="{18A26C50-E043-4F25-B787-5A6920D15A3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75" name="Text 3">
          <a:extLst>
            <a:ext uri="{FF2B5EF4-FFF2-40B4-BE49-F238E27FC236}">
              <a16:creationId xmlns:a16="http://schemas.microsoft.com/office/drawing/2014/main" id="{6C27C58E-191E-415B-8D44-A2FE93CEFA3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76" name="Text 3">
          <a:extLst>
            <a:ext uri="{FF2B5EF4-FFF2-40B4-BE49-F238E27FC236}">
              <a16:creationId xmlns:a16="http://schemas.microsoft.com/office/drawing/2014/main" id="{A5E1FBA8-B427-4B81-BD2B-E4C1CF6B450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77" name="Text 3">
          <a:extLst>
            <a:ext uri="{FF2B5EF4-FFF2-40B4-BE49-F238E27FC236}">
              <a16:creationId xmlns:a16="http://schemas.microsoft.com/office/drawing/2014/main" id="{DAB641C6-347D-4A61-8B17-A607D3D773B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78" name="Text 3">
          <a:extLst>
            <a:ext uri="{FF2B5EF4-FFF2-40B4-BE49-F238E27FC236}">
              <a16:creationId xmlns:a16="http://schemas.microsoft.com/office/drawing/2014/main" id="{0CECEAC7-348D-48DA-B0BA-6B7D32202EA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79" name="Text 3">
          <a:extLst>
            <a:ext uri="{FF2B5EF4-FFF2-40B4-BE49-F238E27FC236}">
              <a16:creationId xmlns:a16="http://schemas.microsoft.com/office/drawing/2014/main" id="{49CCAD78-094B-4FA9-B70F-9EDD6BFFA54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80" name="Text 3">
          <a:extLst>
            <a:ext uri="{FF2B5EF4-FFF2-40B4-BE49-F238E27FC236}">
              <a16:creationId xmlns:a16="http://schemas.microsoft.com/office/drawing/2014/main" id="{4A6AADAF-9A96-46A0-B8B9-3FD567AF90B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81" name="Text 3">
          <a:extLst>
            <a:ext uri="{FF2B5EF4-FFF2-40B4-BE49-F238E27FC236}">
              <a16:creationId xmlns:a16="http://schemas.microsoft.com/office/drawing/2014/main" id="{16B6D617-9270-498A-8E3B-C322910473A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82" name="Text 3">
          <a:extLst>
            <a:ext uri="{FF2B5EF4-FFF2-40B4-BE49-F238E27FC236}">
              <a16:creationId xmlns:a16="http://schemas.microsoft.com/office/drawing/2014/main" id="{509482B7-FD51-4194-BFCE-9D1B98F11F4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83" name="Text 3">
          <a:extLst>
            <a:ext uri="{FF2B5EF4-FFF2-40B4-BE49-F238E27FC236}">
              <a16:creationId xmlns:a16="http://schemas.microsoft.com/office/drawing/2014/main" id="{E72B43FF-B6BC-4C9B-A9FA-20BCE1B0759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84" name="Text 3">
          <a:extLst>
            <a:ext uri="{FF2B5EF4-FFF2-40B4-BE49-F238E27FC236}">
              <a16:creationId xmlns:a16="http://schemas.microsoft.com/office/drawing/2014/main" id="{40FEEDCA-3DFE-42AE-A20F-EB5BF76F1E4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85" name="Text 3">
          <a:extLst>
            <a:ext uri="{FF2B5EF4-FFF2-40B4-BE49-F238E27FC236}">
              <a16:creationId xmlns:a16="http://schemas.microsoft.com/office/drawing/2014/main" id="{1DE978E3-F2D0-4CED-8E34-AFBC076721C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86" name="Text 3">
          <a:extLst>
            <a:ext uri="{FF2B5EF4-FFF2-40B4-BE49-F238E27FC236}">
              <a16:creationId xmlns:a16="http://schemas.microsoft.com/office/drawing/2014/main" id="{EDBF5FF0-CCE4-46FA-BB44-C16B78AA3EB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87" name="Text 3">
          <a:extLst>
            <a:ext uri="{FF2B5EF4-FFF2-40B4-BE49-F238E27FC236}">
              <a16:creationId xmlns:a16="http://schemas.microsoft.com/office/drawing/2014/main" id="{660A97FA-ABB0-4509-B2DE-3F28D841972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88" name="Text 3">
          <a:extLst>
            <a:ext uri="{FF2B5EF4-FFF2-40B4-BE49-F238E27FC236}">
              <a16:creationId xmlns:a16="http://schemas.microsoft.com/office/drawing/2014/main" id="{F41EEAB3-B2FE-49B6-8463-7108A8A7B91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89" name="Text 3">
          <a:extLst>
            <a:ext uri="{FF2B5EF4-FFF2-40B4-BE49-F238E27FC236}">
              <a16:creationId xmlns:a16="http://schemas.microsoft.com/office/drawing/2014/main" id="{5AF338C8-D179-4CC2-8A33-FB582C15765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90" name="Text 3">
          <a:extLst>
            <a:ext uri="{FF2B5EF4-FFF2-40B4-BE49-F238E27FC236}">
              <a16:creationId xmlns:a16="http://schemas.microsoft.com/office/drawing/2014/main" id="{26AC0E89-3E06-457F-B75A-0FA5CB3356D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91" name="Text 3">
          <a:extLst>
            <a:ext uri="{FF2B5EF4-FFF2-40B4-BE49-F238E27FC236}">
              <a16:creationId xmlns:a16="http://schemas.microsoft.com/office/drawing/2014/main" id="{3D40DF33-582A-43C9-A214-C9E01165CA6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92" name="Text 3">
          <a:extLst>
            <a:ext uri="{FF2B5EF4-FFF2-40B4-BE49-F238E27FC236}">
              <a16:creationId xmlns:a16="http://schemas.microsoft.com/office/drawing/2014/main" id="{559996FE-E27E-4E5C-B173-E90C87E4286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93" name="Text 3">
          <a:extLst>
            <a:ext uri="{FF2B5EF4-FFF2-40B4-BE49-F238E27FC236}">
              <a16:creationId xmlns:a16="http://schemas.microsoft.com/office/drawing/2014/main" id="{C5652B67-74E3-433A-BFBD-13152BB086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94" name="Text 3">
          <a:extLst>
            <a:ext uri="{FF2B5EF4-FFF2-40B4-BE49-F238E27FC236}">
              <a16:creationId xmlns:a16="http://schemas.microsoft.com/office/drawing/2014/main" id="{06F72EEF-3CA6-4871-8C40-E7C4A4B0E62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95" name="Text 3">
          <a:extLst>
            <a:ext uri="{FF2B5EF4-FFF2-40B4-BE49-F238E27FC236}">
              <a16:creationId xmlns:a16="http://schemas.microsoft.com/office/drawing/2014/main" id="{F44E5678-524D-4246-8C43-CC0338CFADC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96" name="Text 3">
          <a:extLst>
            <a:ext uri="{FF2B5EF4-FFF2-40B4-BE49-F238E27FC236}">
              <a16:creationId xmlns:a16="http://schemas.microsoft.com/office/drawing/2014/main" id="{D4E26D47-4557-44B9-B408-E8373BF3AB7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897" name="Text 3">
          <a:extLst>
            <a:ext uri="{FF2B5EF4-FFF2-40B4-BE49-F238E27FC236}">
              <a16:creationId xmlns:a16="http://schemas.microsoft.com/office/drawing/2014/main" id="{9EBCDCED-5AB9-46C6-9750-F5D1892ACC8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898" name="Text 3">
          <a:extLst>
            <a:ext uri="{FF2B5EF4-FFF2-40B4-BE49-F238E27FC236}">
              <a16:creationId xmlns:a16="http://schemas.microsoft.com/office/drawing/2014/main" id="{7C63439A-2A1C-45F8-8390-9502ACA371D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899" name="Text 3">
          <a:extLst>
            <a:ext uri="{FF2B5EF4-FFF2-40B4-BE49-F238E27FC236}">
              <a16:creationId xmlns:a16="http://schemas.microsoft.com/office/drawing/2014/main" id="{ADCCDD81-EB94-404C-8070-9D937F5A88F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00" name="Text 3">
          <a:extLst>
            <a:ext uri="{FF2B5EF4-FFF2-40B4-BE49-F238E27FC236}">
              <a16:creationId xmlns:a16="http://schemas.microsoft.com/office/drawing/2014/main" id="{A17F6E45-F1F8-45CE-A629-61C5828D0CB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01" name="Text 3">
          <a:extLst>
            <a:ext uri="{FF2B5EF4-FFF2-40B4-BE49-F238E27FC236}">
              <a16:creationId xmlns:a16="http://schemas.microsoft.com/office/drawing/2014/main" id="{DD9AF917-9CCA-426F-ADC6-A15D53DC74A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02" name="Text 3">
          <a:extLst>
            <a:ext uri="{FF2B5EF4-FFF2-40B4-BE49-F238E27FC236}">
              <a16:creationId xmlns:a16="http://schemas.microsoft.com/office/drawing/2014/main" id="{64C21A1E-E81E-41B7-8C7A-F5904FCD4A7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03" name="Text 3">
          <a:extLst>
            <a:ext uri="{FF2B5EF4-FFF2-40B4-BE49-F238E27FC236}">
              <a16:creationId xmlns:a16="http://schemas.microsoft.com/office/drawing/2014/main" id="{C525B307-0B6C-4904-8822-2A7AB3E6AD1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04" name="Text 3">
          <a:extLst>
            <a:ext uri="{FF2B5EF4-FFF2-40B4-BE49-F238E27FC236}">
              <a16:creationId xmlns:a16="http://schemas.microsoft.com/office/drawing/2014/main" id="{96EF161B-53BE-490B-9AB9-12C82C60BEA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05" name="Text 3">
          <a:extLst>
            <a:ext uri="{FF2B5EF4-FFF2-40B4-BE49-F238E27FC236}">
              <a16:creationId xmlns:a16="http://schemas.microsoft.com/office/drawing/2014/main" id="{9D0A88B8-CF97-44DA-98C9-B98AFC8CC48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06" name="Text 3">
          <a:extLst>
            <a:ext uri="{FF2B5EF4-FFF2-40B4-BE49-F238E27FC236}">
              <a16:creationId xmlns:a16="http://schemas.microsoft.com/office/drawing/2014/main" id="{3DFAA65F-5513-430C-9EEE-EF32BC4BD31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07" name="Text 3">
          <a:extLst>
            <a:ext uri="{FF2B5EF4-FFF2-40B4-BE49-F238E27FC236}">
              <a16:creationId xmlns:a16="http://schemas.microsoft.com/office/drawing/2014/main" id="{C899CA2C-5797-4F38-A8B7-13D5DE38A13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08" name="Text 3">
          <a:extLst>
            <a:ext uri="{FF2B5EF4-FFF2-40B4-BE49-F238E27FC236}">
              <a16:creationId xmlns:a16="http://schemas.microsoft.com/office/drawing/2014/main" id="{5E54FDB3-D6CA-442D-A930-0EA5D07312A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09" name="Text 3">
          <a:extLst>
            <a:ext uri="{FF2B5EF4-FFF2-40B4-BE49-F238E27FC236}">
              <a16:creationId xmlns:a16="http://schemas.microsoft.com/office/drawing/2014/main" id="{A321557C-A2A9-4B60-A76D-5FBC3E9BD60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10" name="Text 3">
          <a:extLst>
            <a:ext uri="{FF2B5EF4-FFF2-40B4-BE49-F238E27FC236}">
              <a16:creationId xmlns:a16="http://schemas.microsoft.com/office/drawing/2014/main" id="{C8F2A597-A8FC-4489-A79D-114DB9A89FF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11" name="Text 3">
          <a:extLst>
            <a:ext uri="{FF2B5EF4-FFF2-40B4-BE49-F238E27FC236}">
              <a16:creationId xmlns:a16="http://schemas.microsoft.com/office/drawing/2014/main" id="{26F93039-5640-4FFB-8B6C-699668ECFCF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12" name="Text 3">
          <a:extLst>
            <a:ext uri="{FF2B5EF4-FFF2-40B4-BE49-F238E27FC236}">
              <a16:creationId xmlns:a16="http://schemas.microsoft.com/office/drawing/2014/main" id="{02D88248-6463-4BDB-B06E-7B8EA4D562B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13" name="Text 3">
          <a:extLst>
            <a:ext uri="{FF2B5EF4-FFF2-40B4-BE49-F238E27FC236}">
              <a16:creationId xmlns:a16="http://schemas.microsoft.com/office/drawing/2014/main" id="{DA1E710E-09E0-478F-AFCB-A517A00A675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14" name="Text 3">
          <a:extLst>
            <a:ext uri="{FF2B5EF4-FFF2-40B4-BE49-F238E27FC236}">
              <a16:creationId xmlns:a16="http://schemas.microsoft.com/office/drawing/2014/main" id="{A075618A-E853-4F0D-BD98-2DACC8CB1FC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15" name="Text 3">
          <a:extLst>
            <a:ext uri="{FF2B5EF4-FFF2-40B4-BE49-F238E27FC236}">
              <a16:creationId xmlns:a16="http://schemas.microsoft.com/office/drawing/2014/main" id="{ACD008D6-96AA-44C7-9E67-9BEB4B064A8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16" name="Text 3">
          <a:extLst>
            <a:ext uri="{FF2B5EF4-FFF2-40B4-BE49-F238E27FC236}">
              <a16:creationId xmlns:a16="http://schemas.microsoft.com/office/drawing/2014/main" id="{4563EE8F-5FA5-4996-9074-40758CB1BF3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17" name="Text 3">
          <a:extLst>
            <a:ext uri="{FF2B5EF4-FFF2-40B4-BE49-F238E27FC236}">
              <a16:creationId xmlns:a16="http://schemas.microsoft.com/office/drawing/2014/main" id="{43717DCD-7D2A-4C26-AE2E-FA7072DEE12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18" name="Text 3">
          <a:extLst>
            <a:ext uri="{FF2B5EF4-FFF2-40B4-BE49-F238E27FC236}">
              <a16:creationId xmlns:a16="http://schemas.microsoft.com/office/drawing/2014/main" id="{7A7579E7-5167-4F4C-BF6A-EF648CA00BE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19" name="Text 3">
          <a:extLst>
            <a:ext uri="{FF2B5EF4-FFF2-40B4-BE49-F238E27FC236}">
              <a16:creationId xmlns:a16="http://schemas.microsoft.com/office/drawing/2014/main" id="{75F5F20F-EBAE-4D54-A7D9-0881A99BB90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20" name="Text 3">
          <a:extLst>
            <a:ext uri="{FF2B5EF4-FFF2-40B4-BE49-F238E27FC236}">
              <a16:creationId xmlns:a16="http://schemas.microsoft.com/office/drawing/2014/main" id="{EDA8C6C0-9F57-43A2-AD8E-6E4BE4BAA70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21" name="Text 3">
          <a:extLst>
            <a:ext uri="{FF2B5EF4-FFF2-40B4-BE49-F238E27FC236}">
              <a16:creationId xmlns:a16="http://schemas.microsoft.com/office/drawing/2014/main" id="{911B74F5-9812-4464-8DEE-2E2910D802F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22" name="Text 3">
          <a:extLst>
            <a:ext uri="{FF2B5EF4-FFF2-40B4-BE49-F238E27FC236}">
              <a16:creationId xmlns:a16="http://schemas.microsoft.com/office/drawing/2014/main" id="{5A3580A8-3D91-452F-8B0C-0EF4B9F631E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23" name="Text 3">
          <a:extLst>
            <a:ext uri="{FF2B5EF4-FFF2-40B4-BE49-F238E27FC236}">
              <a16:creationId xmlns:a16="http://schemas.microsoft.com/office/drawing/2014/main" id="{7036BC76-242F-45D1-A47E-4EFA0939EAF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24" name="Text 3">
          <a:extLst>
            <a:ext uri="{FF2B5EF4-FFF2-40B4-BE49-F238E27FC236}">
              <a16:creationId xmlns:a16="http://schemas.microsoft.com/office/drawing/2014/main" id="{05DA821B-4CB2-468E-8225-5A8694AAF77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25" name="Text 3">
          <a:extLst>
            <a:ext uri="{FF2B5EF4-FFF2-40B4-BE49-F238E27FC236}">
              <a16:creationId xmlns:a16="http://schemas.microsoft.com/office/drawing/2014/main" id="{0AB6A6E0-957E-43AA-BBA4-6C9449A46C1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26" name="Text 3">
          <a:extLst>
            <a:ext uri="{FF2B5EF4-FFF2-40B4-BE49-F238E27FC236}">
              <a16:creationId xmlns:a16="http://schemas.microsoft.com/office/drawing/2014/main" id="{E13F6248-BE72-4200-B2E3-2002B36E329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27" name="Text 3">
          <a:extLst>
            <a:ext uri="{FF2B5EF4-FFF2-40B4-BE49-F238E27FC236}">
              <a16:creationId xmlns:a16="http://schemas.microsoft.com/office/drawing/2014/main" id="{3411F048-42A9-4830-B5C2-3FE6D19EEF7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28" name="Text 3">
          <a:extLst>
            <a:ext uri="{FF2B5EF4-FFF2-40B4-BE49-F238E27FC236}">
              <a16:creationId xmlns:a16="http://schemas.microsoft.com/office/drawing/2014/main" id="{C6FD7A58-F5C6-4418-B251-421C1444CAE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29" name="Text 3">
          <a:extLst>
            <a:ext uri="{FF2B5EF4-FFF2-40B4-BE49-F238E27FC236}">
              <a16:creationId xmlns:a16="http://schemas.microsoft.com/office/drawing/2014/main" id="{B33C6EED-FA59-4CFC-BE79-80D3F37A88B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30" name="Text 3">
          <a:extLst>
            <a:ext uri="{FF2B5EF4-FFF2-40B4-BE49-F238E27FC236}">
              <a16:creationId xmlns:a16="http://schemas.microsoft.com/office/drawing/2014/main" id="{8C3EB09B-4E45-44D6-AD2E-FA6D01DD235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31" name="Text 3">
          <a:extLst>
            <a:ext uri="{FF2B5EF4-FFF2-40B4-BE49-F238E27FC236}">
              <a16:creationId xmlns:a16="http://schemas.microsoft.com/office/drawing/2014/main" id="{22939E6C-96F3-488F-A501-407625B6C8E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32" name="Text 3">
          <a:extLst>
            <a:ext uri="{FF2B5EF4-FFF2-40B4-BE49-F238E27FC236}">
              <a16:creationId xmlns:a16="http://schemas.microsoft.com/office/drawing/2014/main" id="{0DE90DF4-6D00-4B77-8755-5886D445D0A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33" name="Text 3">
          <a:extLst>
            <a:ext uri="{FF2B5EF4-FFF2-40B4-BE49-F238E27FC236}">
              <a16:creationId xmlns:a16="http://schemas.microsoft.com/office/drawing/2014/main" id="{24275FDA-2DFA-4850-BBDC-41BECF7F6C5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34" name="Text 3">
          <a:extLst>
            <a:ext uri="{FF2B5EF4-FFF2-40B4-BE49-F238E27FC236}">
              <a16:creationId xmlns:a16="http://schemas.microsoft.com/office/drawing/2014/main" id="{0C63C4D4-C193-403D-B07E-9B8676B31B8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35" name="Text 3">
          <a:extLst>
            <a:ext uri="{FF2B5EF4-FFF2-40B4-BE49-F238E27FC236}">
              <a16:creationId xmlns:a16="http://schemas.microsoft.com/office/drawing/2014/main" id="{04A4134C-8E8F-4CBF-8F74-95205E2506A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36" name="Text 3">
          <a:extLst>
            <a:ext uri="{FF2B5EF4-FFF2-40B4-BE49-F238E27FC236}">
              <a16:creationId xmlns:a16="http://schemas.microsoft.com/office/drawing/2014/main" id="{CCBB9A00-885E-4D99-B81D-2A3AD85A430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37" name="Text 3">
          <a:extLst>
            <a:ext uri="{FF2B5EF4-FFF2-40B4-BE49-F238E27FC236}">
              <a16:creationId xmlns:a16="http://schemas.microsoft.com/office/drawing/2014/main" id="{545F02D6-7FF5-4314-949E-1C267F76EA9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38" name="Text 3">
          <a:extLst>
            <a:ext uri="{FF2B5EF4-FFF2-40B4-BE49-F238E27FC236}">
              <a16:creationId xmlns:a16="http://schemas.microsoft.com/office/drawing/2014/main" id="{B55AA87D-5D4A-4ED5-B69F-30AD4D96B96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39" name="Text 3">
          <a:extLst>
            <a:ext uri="{FF2B5EF4-FFF2-40B4-BE49-F238E27FC236}">
              <a16:creationId xmlns:a16="http://schemas.microsoft.com/office/drawing/2014/main" id="{945C29F1-7C30-49F6-ACBC-3A53F2306AC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40" name="Text 3">
          <a:extLst>
            <a:ext uri="{FF2B5EF4-FFF2-40B4-BE49-F238E27FC236}">
              <a16:creationId xmlns:a16="http://schemas.microsoft.com/office/drawing/2014/main" id="{3C72CF12-B548-4327-AE1D-F0A8410435F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41" name="Text 3">
          <a:extLst>
            <a:ext uri="{FF2B5EF4-FFF2-40B4-BE49-F238E27FC236}">
              <a16:creationId xmlns:a16="http://schemas.microsoft.com/office/drawing/2014/main" id="{5E070530-3243-4734-9528-EDF6062D4E0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42" name="Text 3">
          <a:extLst>
            <a:ext uri="{FF2B5EF4-FFF2-40B4-BE49-F238E27FC236}">
              <a16:creationId xmlns:a16="http://schemas.microsoft.com/office/drawing/2014/main" id="{764653D4-DA23-449D-AD40-B5B5A93FBAF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43" name="Text 3">
          <a:extLst>
            <a:ext uri="{FF2B5EF4-FFF2-40B4-BE49-F238E27FC236}">
              <a16:creationId xmlns:a16="http://schemas.microsoft.com/office/drawing/2014/main" id="{C8506E1A-D351-45E7-8B67-2A50A9B01F5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44" name="Text 3">
          <a:extLst>
            <a:ext uri="{FF2B5EF4-FFF2-40B4-BE49-F238E27FC236}">
              <a16:creationId xmlns:a16="http://schemas.microsoft.com/office/drawing/2014/main" id="{EDE96967-3AEA-4BF6-98C5-AEAEF89C3DC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45" name="Text 3">
          <a:extLst>
            <a:ext uri="{FF2B5EF4-FFF2-40B4-BE49-F238E27FC236}">
              <a16:creationId xmlns:a16="http://schemas.microsoft.com/office/drawing/2014/main" id="{107DAF8C-1533-4489-85F6-0A9084031AA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46" name="Text 3">
          <a:extLst>
            <a:ext uri="{FF2B5EF4-FFF2-40B4-BE49-F238E27FC236}">
              <a16:creationId xmlns:a16="http://schemas.microsoft.com/office/drawing/2014/main" id="{699DE6DA-63CC-4561-9724-EF954D84852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47" name="Text 3">
          <a:extLst>
            <a:ext uri="{FF2B5EF4-FFF2-40B4-BE49-F238E27FC236}">
              <a16:creationId xmlns:a16="http://schemas.microsoft.com/office/drawing/2014/main" id="{D905777B-5906-4B59-A47E-C665C98A900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48" name="Text 3">
          <a:extLst>
            <a:ext uri="{FF2B5EF4-FFF2-40B4-BE49-F238E27FC236}">
              <a16:creationId xmlns:a16="http://schemas.microsoft.com/office/drawing/2014/main" id="{03FBFE19-CF99-4D0B-A2B2-1A270E0DC44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49" name="Text 3">
          <a:extLst>
            <a:ext uri="{FF2B5EF4-FFF2-40B4-BE49-F238E27FC236}">
              <a16:creationId xmlns:a16="http://schemas.microsoft.com/office/drawing/2014/main" id="{3307AD73-52B9-4D53-ADD2-5CBBB3D4AE3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50" name="Text 3">
          <a:extLst>
            <a:ext uri="{FF2B5EF4-FFF2-40B4-BE49-F238E27FC236}">
              <a16:creationId xmlns:a16="http://schemas.microsoft.com/office/drawing/2014/main" id="{7C733DF7-24ED-4E67-B98F-855CF345569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51" name="Text 3">
          <a:extLst>
            <a:ext uri="{FF2B5EF4-FFF2-40B4-BE49-F238E27FC236}">
              <a16:creationId xmlns:a16="http://schemas.microsoft.com/office/drawing/2014/main" id="{78A49CB0-FFCA-4E18-AE7E-09F9E5C42D1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52" name="Text 3">
          <a:extLst>
            <a:ext uri="{FF2B5EF4-FFF2-40B4-BE49-F238E27FC236}">
              <a16:creationId xmlns:a16="http://schemas.microsoft.com/office/drawing/2014/main" id="{B3BD5E8D-0FE6-4614-A84F-8266E7CFA7C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53" name="Text 3">
          <a:extLst>
            <a:ext uri="{FF2B5EF4-FFF2-40B4-BE49-F238E27FC236}">
              <a16:creationId xmlns:a16="http://schemas.microsoft.com/office/drawing/2014/main" id="{52E9C991-0AFD-4B8A-A4F2-BB15F6D058C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54" name="Text 3">
          <a:extLst>
            <a:ext uri="{FF2B5EF4-FFF2-40B4-BE49-F238E27FC236}">
              <a16:creationId xmlns:a16="http://schemas.microsoft.com/office/drawing/2014/main" id="{61E58987-E2F4-4E98-B1A7-84159FEC2C4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55" name="Text 3">
          <a:extLst>
            <a:ext uri="{FF2B5EF4-FFF2-40B4-BE49-F238E27FC236}">
              <a16:creationId xmlns:a16="http://schemas.microsoft.com/office/drawing/2014/main" id="{5B6F37ED-F983-4F6F-9F07-8AC328EEDAD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56" name="Text 3">
          <a:extLst>
            <a:ext uri="{FF2B5EF4-FFF2-40B4-BE49-F238E27FC236}">
              <a16:creationId xmlns:a16="http://schemas.microsoft.com/office/drawing/2014/main" id="{D92A9631-CB6D-4689-8F58-61C9C01437D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57" name="Text 3">
          <a:extLst>
            <a:ext uri="{FF2B5EF4-FFF2-40B4-BE49-F238E27FC236}">
              <a16:creationId xmlns:a16="http://schemas.microsoft.com/office/drawing/2014/main" id="{07A42983-99A0-494B-A70D-6CF2E2C3856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58" name="Text 3">
          <a:extLst>
            <a:ext uri="{FF2B5EF4-FFF2-40B4-BE49-F238E27FC236}">
              <a16:creationId xmlns:a16="http://schemas.microsoft.com/office/drawing/2014/main" id="{7F54445D-DE56-4C55-BB3E-06734036913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59" name="Text 3">
          <a:extLst>
            <a:ext uri="{FF2B5EF4-FFF2-40B4-BE49-F238E27FC236}">
              <a16:creationId xmlns:a16="http://schemas.microsoft.com/office/drawing/2014/main" id="{0782A01B-A895-4E5F-8B20-2168E28E1EB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60" name="Text 3">
          <a:extLst>
            <a:ext uri="{FF2B5EF4-FFF2-40B4-BE49-F238E27FC236}">
              <a16:creationId xmlns:a16="http://schemas.microsoft.com/office/drawing/2014/main" id="{6F6460D2-B2B0-4630-9478-C1A3B6F95CB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61" name="Text 3">
          <a:extLst>
            <a:ext uri="{FF2B5EF4-FFF2-40B4-BE49-F238E27FC236}">
              <a16:creationId xmlns:a16="http://schemas.microsoft.com/office/drawing/2014/main" id="{A8A28ED9-805B-4988-8841-460217ACA6F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62" name="Text 3">
          <a:extLst>
            <a:ext uri="{FF2B5EF4-FFF2-40B4-BE49-F238E27FC236}">
              <a16:creationId xmlns:a16="http://schemas.microsoft.com/office/drawing/2014/main" id="{BB2EF733-9860-466A-878B-6ACA21F7694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63" name="Text 3">
          <a:extLst>
            <a:ext uri="{FF2B5EF4-FFF2-40B4-BE49-F238E27FC236}">
              <a16:creationId xmlns:a16="http://schemas.microsoft.com/office/drawing/2014/main" id="{0D97D2D7-C2E8-4C82-8876-092B3B11817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64" name="Text 3">
          <a:extLst>
            <a:ext uri="{FF2B5EF4-FFF2-40B4-BE49-F238E27FC236}">
              <a16:creationId xmlns:a16="http://schemas.microsoft.com/office/drawing/2014/main" id="{16536E19-65BE-4FDD-B094-2ADA6C52521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65" name="Text 3">
          <a:extLst>
            <a:ext uri="{FF2B5EF4-FFF2-40B4-BE49-F238E27FC236}">
              <a16:creationId xmlns:a16="http://schemas.microsoft.com/office/drawing/2014/main" id="{882A666D-440C-4505-BDCF-659488BF258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66" name="Text 3">
          <a:extLst>
            <a:ext uri="{FF2B5EF4-FFF2-40B4-BE49-F238E27FC236}">
              <a16:creationId xmlns:a16="http://schemas.microsoft.com/office/drawing/2014/main" id="{1629B425-8C4A-4400-8DCE-8E82523E16F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67" name="Text 3">
          <a:extLst>
            <a:ext uri="{FF2B5EF4-FFF2-40B4-BE49-F238E27FC236}">
              <a16:creationId xmlns:a16="http://schemas.microsoft.com/office/drawing/2014/main" id="{DBF5F46F-0815-46BE-89EA-8827580584A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68" name="Text 3">
          <a:extLst>
            <a:ext uri="{FF2B5EF4-FFF2-40B4-BE49-F238E27FC236}">
              <a16:creationId xmlns:a16="http://schemas.microsoft.com/office/drawing/2014/main" id="{AE9C4E09-9D43-4712-BE79-086DEC22E7A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69" name="Text 3">
          <a:extLst>
            <a:ext uri="{FF2B5EF4-FFF2-40B4-BE49-F238E27FC236}">
              <a16:creationId xmlns:a16="http://schemas.microsoft.com/office/drawing/2014/main" id="{22F07A5C-3DB5-401B-8142-ACDCD6293BA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70" name="Text 3">
          <a:extLst>
            <a:ext uri="{FF2B5EF4-FFF2-40B4-BE49-F238E27FC236}">
              <a16:creationId xmlns:a16="http://schemas.microsoft.com/office/drawing/2014/main" id="{D09137C2-3A7B-4E33-B337-1834E98A3CD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71" name="Text 3">
          <a:extLst>
            <a:ext uri="{FF2B5EF4-FFF2-40B4-BE49-F238E27FC236}">
              <a16:creationId xmlns:a16="http://schemas.microsoft.com/office/drawing/2014/main" id="{44FE82E1-2CEF-43B8-98B8-F96842EF8CF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72" name="Text 3">
          <a:extLst>
            <a:ext uri="{FF2B5EF4-FFF2-40B4-BE49-F238E27FC236}">
              <a16:creationId xmlns:a16="http://schemas.microsoft.com/office/drawing/2014/main" id="{83CF4B34-D2CD-4FA8-8FFC-8429BC11270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73" name="Text 3">
          <a:extLst>
            <a:ext uri="{FF2B5EF4-FFF2-40B4-BE49-F238E27FC236}">
              <a16:creationId xmlns:a16="http://schemas.microsoft.com/office/drawing/2014/main" id="{7582E61E-F9B5-4ECB-BA55-76FE6781F2F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74" name="Text 3">
          <a:extLst>
            <a:ext uri="{FF2B5EF4-FFF2-40B4-BE49-F238E27FC236}">
              <a16:creationId xmlns:a16="http://schemas.microsoft.com/office/drawing/2014/main" id="{277F5713-9364-4D44-A346-C835B56FD25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75" name="Text 3">
          <a:extLst>
            <a:ext uri="{FF2B5EF4-FFF2-40B4-BE49-F238E27FC236}">
              <a16:creationId xmlns:a16="http://schemas.microsoft.com/office/drawing/2014/main" id="{B19B36DF-1168-46F4-AD93-CB119BA5DA1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76" name="Text 3">
          <a:extLst>
            <a:ext uri="{FF2B5EF4-FFF2-40B4-BE49-F238E27FC236}">
              <a16:creationId xmlns:a16="http://schemas.microsoft.com/office/drawing/2014/main" id="{D3317628-5BAC-4FE2-B611-E7ED7FDEB14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77" name="Text 3">
          <a:extLst>
            <a:ext uri="{FF2B5EF4-FFF2-40B4-BE49-F238E27FC236}">
              <a16:creationId xmlns:a16="http://schemas.microsoft.com/office/drawing/2014/main" id="{277635F4-47EF-47B9-B0AE-734695B2EC5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78" name="Text 3">
          <a:extLst>
            <a:ext uri="{FF2B5EF4-FFF2-40B4-BE49-F238E27FC236}">
              <a16:creationId xmlns:a16="http://schemas.microsoft.com/office/drawing/2014/main" id="{A7B1FF3C-B99B-4AE8-814D-46AD8D3EC08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79" name="Text 3">
          <a:extLst>
            <a:ext uri="{FF2B5EF4-FFF2-40B4-BE49-F238E27FC236}">
              <a16:creationId xmlns:a16="http://schemas.microsoft.com/office/drawing/2014/main" id="{474BFF01-C744-4FAE-BD9B-217E5D8D8BA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80" name="Text 3">
          <a:extLst>
            <a:ext uri="{FF2B5EF4-FFF2-40B4-BE49-F238E27FC236}">
              <a16:creationId xmlns:a16="http://schemas.microsoft.com/office/drawing/2014/main" id="{E08B26C8-38A4-4F83-96DC-8F993606E51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81" name="Text 3">
          <a:extLst>
            <a:ext uri="{FF2B5EF4-FFF2-40B4-BE49-F238E27FC236}">
              <a16:creationId xmlns:a16="http://schemas.microsoft.com/office/drawing/2014/main" id="{AED8B291-7CC5-4B0D-A700-67D178EFD8D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82" name="Text 3">
          <a:extLst>
            <a:ext uri="{FF2B5EF4-FFF2-40B4-BE49-F238E27FC236}">
              <a16:creationId xmlns:a16="http://schemas.microsoft.com/office/drawing/2014/main" id="{E14E8FD0-51E7-49E0-ABB4-7C9835AC412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83" name="Text 3">
          <a:extLst>
            <a:ext uri="{FF2B5EF4-FFF2-40B4-BE49-F238E27FC236}">
              <a16:creationId xmlns:a16="http://schemas.microsoft.com/office/drawing/2014/main" id="{86FD4AEC-F946-4FBF-8847-7733363CF5C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84" name="Text 3">
          <a:extLst>
            <a:ext uri="{FF2B5EF4-FFF2-40B4-BE49-F238E27FC236}">
              <a16:creationId xmlns:a16="http://schemas.microsoft.com/office/drawing/2014/main" id="{2EA7C8AC-EEFC-478F-8143-4A369F6EF52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85" name="Text 3">
          <a:extLst>
            <a:ext uri="{FF2B5EF4-FFF2-40B4-BE49-F238E27FC236}">
              <a16:creationId xmlns:a16="http://schemas.microsoft.com/office/drawing/2014/main" id="{9074FA77-B484-4610-A6F1-B5DD3DBB8A1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86" name="Text 3">
          <a:extLst>
            <a:ext uri="{FF2B5EF4-FFF2-40B4-BE49-F238E27FC236}">
              <a16:creationId xmlns:a16="http://schemas.microsoft.com/office/drawing/2014/main" id="{7CDB4F9B-4A4A-4D3E-87BD-AFE426F77E1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87" name="Text 3">
          <a:extLst>
            <a:ext uri="{FF2B5EF4-FFF2-40B4-BE49-F238E27FC236}">
              <a16:creationId xmlns:a16="http://schemas.microsoft.com/office/drawing/2014/main" id="{3921B665-8D6A-4048-BCE3-04B5AFDD10E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88" name="Text 3">
          <a:extLst>
            <a:ext uri="{FF2B5EF4-FFF2-40B4-BE49-F238E27FC236}">
              <a16:creationId xmlns:a16="http://schemas.microsoft.com/office/drawing/2014/main" id="{38D4C3C2-D460-44EE-8B93-B1350203E73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89" name="Text 3">
          <a:extLst>
            <a:ext uri="{FF2B5EF4-FFF2-40B4-BE49-F238E27FC236}">
              <a16:creationId xmlns:a16="http://schemas.microsoft.com/office/drawing/2014/main" id="{D6B3BC63-99F5-4C50-8F91-4F4FBBBFA84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90" name="Text 3">
          <a:extLst>
            <a:ext uri="{FF2B5EF4-FFF2-40B4-BE49-F238E27FC236}">
              <a16:creationId xmlns:a16="http://schemas.microsoft.com/office/drawing/2014/main" id="{C97ED061-CBBB-4DC6-BA6B-7288FAB9F1C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91" name="Text 3">
          <a:extLst>
            <a:ext uri="{FF2B5EF4-FFF2-40B4-BE49-F238E27FC236}">
              <a16:creationId xmlns:a16="http://schemas.microsoft.com/office/drawing/2014/main" id="{2EE8EE2E-C12D-4EB0-BE26-31E85507CF8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92" name="Text 3">
          <a:extLst>
            <a:ext uri="{FF2B5EF4-FFF2-40B4-BE49-F238E27FC236}">
              <a16:creationId xmlns:a16="http://schemas.microsoft.com/office/drawing/2014/main" id="{79553592-2148-4318-A82F-851DFF23415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93" name="Text 3">
          <a:extLst>
            <a:ext uri="{FF2B5EF4-FFF2-40B4-BE49-F238E27FC236}">
              <a16:creationId xmlns:a16="http://schemas.microsoft.com/office/drawing/2014/main" id="{21028AB6-99D0-4531-B1C1-A103ED2C13F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94" name="Text 3">
          <a:extLst>
            <a:ext uri="{FF2B5EF4-FFF2-40B4-BE49-F238E27FC236}">
              <a16:creationId xmlns:a16="http://schemas.microsoft.com/office/drawing/2014/main" id="{131A4E94-08B7-4458-A2EE-1CD9054FD30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95" name="Text 3">
          <a:extLst>
            <a:ext uri="{FF2B5EF4-FFF2-40B4-BE49-F238E27FC236}">
              <a16:creationId xmlns:a16="http://schemas.microsoft.com/office/drawing/2014/main" id="{0931FB49-8707-4D1B-A671-8FB28D5D4D9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96" name="Text 3">
          <a:extLst>
            <a:ext uri="{FF2B5EF4-FFF2-40B4-BE49-F238E27FC236}">
              <a16:creationId xmlns:a16="http://schemas.microsoft.com/office/drawing/2014/main" id="{6CF4C99A-F567-4D90-B089-BA6C80A5560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997" name="Text 3">
          <a:extLst>
            <a:ext uri="{FF2B5EF4-FFF2-40B4-BE49-F238E27FC236}">
              <a16:creationId xmlns:a16="http://schemas.microsoft.com/office/drawing/2014/main" id="{4D141355-0D25-4C4D-AD6F-7E419E8CD0E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998" name="Text 3">
          <a:extLst>
            <a:ext uri="{FF2B5EF4-FFF2-40B4-BE49-F238E27FC236}">
              <a16:creationId xmlns:a16="http://schemas.microsoft.com/office/drawing/2014/main" id="{B6C9A912-3A01-4E8D-A46F-5E82B29892F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999" name="Text 3">
          <a:extLst>
            <a:ext uri="{FF2B5EF4-FFF2-40B4-BE49-F238E27FC236}">
              <a16:creationId xmlns:a16="http://schemas.microsoft.com/office/drawing/2014/main" id="{F78EA53E-4429-4A71-8161-1DD868F8BE5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00" name="Text 3">
          <a:extLst>
            <a:ext uri="{FF2B5EF4-FFF2-40B4-BE49-F238E27FC236}">
              <a16:creationId xmlns:a16="http://schemas.microsoft.com/office/drawing/2014/main" id="{E9305003-2B87-4DD9-8CD1-52787DD2CF9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01" name="Text 3">
          <a:extLst>
            <a:ext uri="{FF2B5EF4-FFF2-40B4-BE49-F238E27FC236}">
              <a16:creationId xmlns:a16="http://schemas.microsoft.com/office/drawing/2014/main" id="{D6EC44F8-C697-459A-9287-1E96E6EED9B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02" name="Text 3">
          <a:extLst>
            <a:ext uri="{FF2B5EF4-FFF2-40B4-BE49-F238E27FC236}">
              <a16:creationId xmlns:a16="http://schemas.microsoft.com/office/drawing/2014/main" id="{47DEE44D-8405-40AE-9325-662B90A24DE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03" name="Text 3">
          <a:extLst>
            <a:ext uri="{FF2B5EF4-FFF2-40B4-BE49-F238E27FC236}">
              <a16:creationId xmlns:a16="http://schemas.microsoft.com/office/drawing/2014/main" id="{8CE18E72-DA27-4DF4-B43F-DE93EBB79C6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04" name="Text 3">
          <a:extLst>
            <a:ext uri="{FF2B5EF4-FFF2-40B4-BE49-F238E27FC236}">
              <a16:creationId xmlns:a16="http://schemas.microsoft.com/office/drawing/2014/main" id="{81675633-971F-4BDA-9FB2-C76B2E2791A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05" name="Text 3">
          <a:extLst>
            <a:ext uri="{FF2B5EF4-FFF2-40B4-BE49-F238E27FC236}">
              <a16:creationId xmlns:a16="http://schemas.microsoft.com/office/drawing/2014/main" id="{EFCF67AA-6E8D-43FC-A64F-9C5500184AC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06" name="Text 3">
          <a:extLst>
            <a:ext uri="{FF2B5EF4-FFF2-40B4-BE49-F238E27FC236}">
              <a16:creationId xmlns:a16="http://schemas.microsoft.com/office/drawing/2014/main" id="{77CBB07E-0AE1-4A14-81BD-334D3235F4C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07" name="Text 3">
          <a:extLst>
            <a:ext uri="{FF2B5EF4-FFF2-40B4-BE49-F238E27FC236}">
              <a16:creationId xmlns:a16="http://schemas.microsoft.com/office/drawing/2014/main" id="{10C4D2C9-04B9-4CEC-BCB3-B4799C8A80F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08" name="Text 3">
          <a:extLst>
            <a:ext uri="{FF2B5EF4-FFF2-40B4-BE49-F238E27FC236}">
              <a16:creationId xmlns:a16="http://schemas.microsoft.com/office/drawing/2014/main" id="{55BC1554-BC84-4CB8-89F2-45713BB3CE6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09" name="Text 3">
          <a:extLst>
            <a:ext uri="{FF2B5EF4-FFF2-40B4-BE49-F238E27FC236}">
              <a16:creationId xmlns:a16="http://schemas.microsoft.com/office/drawing/2014/main" id="{A539794F-0ABC-4D8E-A9DC-5711456BCE3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10" name="Text 3">
          <a:extLst>
            <a:ext uri="{FF2B5EF4-FFF2-40B4-BE49-F238E27FC236}">
              <a16:creationId xmlns:a16="http://schemas.microsoft.com/office/drawing/2014/main" id="{C21271EA-1A63-41D2-8C4A-9581CCEBE43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11" name="Text 3">
          <a:extLst>
            <a:ext uri="{FF2B5EF4-FFF2-40B4-BE49-F238E27FC236}">
              <a16:creationId xmlns:a16="http://schemas.microsoft.com/office/drawing/2014/main" id="{72C29BF7-A34B-4C35-AA52-6F909AD9313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12" name="Text 3">
          <a:extLst>
            <a:ext uri="{FF2B5EF4-FFF2-40B4-BE49-F238E27FC236}">
              <a16:creationId xmlns:a16="http://schemas.microsoft.com/office/drawing/2014/main" id="{1ECD5766-D6DF-4096-996D-4C42BBEB1E7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13" name="Text 3">
          <a:extLst>
            <a:ext uri="{FF2B5EF4-FFF2-40B4-BE49-F238E27FC236}">
              <a16:creationId xmlns:a16="http://schemas.microsoft.com/office/drawing/2014/main" id="{A9C877A3-3719-46EA-A606-60C95D84A35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14" name="Text 3">
          <a:extLst>
            <a:ext uri="{FF2B5EF4-FFF2-40B4-BE49-F238E27FC236}">
              <a16:creationId xmlns:a16="http://schemas.microsoft.com/office/drawing/2014/main" id="{B6C0CFE8-DE52-4AEB-A2C1-2CDE65C47B8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15" name="Text 3">
          <a:extLst>
            <a:ext uri="{FF2B5EF4-FFF2-40B4-BE49-F238E27FC236}">
              <a16:creationId xmlns:a16="http://schemas.microsoft.com/office/drawing/2014/main" id="{C8418F63-43E5-46E4-BE40-C626F4A47FD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16" name="Text 3">
          <a:extLst>
            <a:ext uri="{FF2B5EF4-FFF2-40B4-BE49-F238E27FC236}">
              <a16:creationId xmlns:a16="http://schemas.microsoft.com/office/drawing/2014/main" id="{DA1A11FA-71BF-4538-AF5C-66F7A0055D2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17" name="Text 3">
          <a:extLst>
            <a:ext uri="{FF2B5EF4-FFF2-40B4-BE49-F238E27FC236}">
              <a16:creationId xmlns:a16="http://schemas.microsoft.com/office/drawing/2014/main" id="{0E244B5A-7272-4590-8067-41C0FC70B7D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18" name="Text 3">
          <a:extLst>
            <a:ext uri="{FF2B5EF4-FFF2-40B4-BE49-F238E27FC236}">
              <a16:creationId xmlns:a16="http://schemas.microsoft.com/office/drawing/2014/main" id="{B1DCB062-21A5-4680-9717-CE454A4DB06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19" name="Text 3">
          <a:extLst>
            <a:ext uri="{FF2B5EF4-FFF2-40B4-BE49-F238E27FC236}">
              <a16:creationId xmlns:a16="http://schemas.microsoft.com/office/drawing/2014/main" id="{1DAFC669-9C4A-4741-97B8-49BD6113DF6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20" name="Text 3">
          <a:extLst>
            <a:ext uri="{FF2B5EF4-FFF2-40B4-BE49-F238E27FC236}">
              <a16:creationId xmlns:a16="http://schemas.microsoft.com/office/drawing/2014/main" id="{CD708B86-7524-4969-9EDA-804F315EE59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21" name="Text 3">
          <a:extLst>
            <a:ext uri="{FF2B5EF4-FFF2-40B4-BE49-F238E27FC236}">
              <a16:creationId xmlns:a16="http://schemas.microsoft.com/office/drawing/2014/main" id="{C8A0F7D6-7814-417A-A7E3-E2C98B9EABE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22" name="Text 3">
          <a:extLst>
            <a:ext uri="{FF2B5EF4-FFF2-40B4-BE49-F238E27FC236}">
              <a16:creationId xmlns:a16="http://schemas.microsoft.com/office/drawing/2014/main" id="{F44B4885-F10D-4C04-8C9F-320F67DF9D7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23" name="Text 3">
          <a:extLst>
            <a:ext uri="{FF2B5EF4-FFF2-40B4-BE49-F238E27FC236}">
              <a16:creationId xmlns:a16="http://schemas.microsoft.com/office/drawing/2014/main" id="{B3ECD6C9-EE7E-4BE9-8CC8-46DBD65505D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24" name="Text 3">
          <a:extLst>
            <a:ext uri="{FF2B5EF4-FFF2-40B4-BE49-F238E27FC236}">
              <a16:creationId xmlns:a16="http://schemas.microsoft.com/office/drawing/2014/main" id="{F19013A9-0459-4882-B0EF-CBDE633C5D1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25" name="Text 3">
          <a:extLst>
            <a:ext uri="{FF2B5EF4-FFF2-40B4-BE49-F238E27FC236}">
              <a16:creationId xmlns:a16="http://schemas.microsoft.com/office/drawing/2014/main" id="{DCC6AD8E-9925-469F-82C0-788F7003325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26" name="Text 3">
          <a:extLst>
            <a:ext uri="{FF2B5EF4-FFF2-40B4-BE49-F238E27FC236}">
              <a16:creationId xmlns:a16="http://schemas.microsoft.com/office/drawing/2014/main" id="{C380DEC6-BE52-4F34-8B1F-27A0357BD74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27" name="Text 3">
          <a:extLst>
            <a:ext uri="{FF2B5EF4-FFF2-40B4-BE49-F238E27FC236}">
              <a16:creationId xmlns:a16="http://schemas.microsoft.com/office/drawing/2014/main" id="{B6DF5480-C007-4E49-8AF2-DB6E5D1FBE6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28" name="Text 3">
          <a:extLst>
            <a:ext uri="{FF2B5EF4-FFF2-40B4-BE49-F238E27FC236}">
              <a16:creationId xmlns:a16="http://schemas.microsoft.com/office/drawing/2014/main" id="{342C4252-3499-4741-9579-3B33234BFD3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29" name="Text 3">
          <a:extLst>
            <a:ext uri="{FF2B5EF4-FFF2-40B4-BE49-F238E27FC236}">
              <a16:creationId xmlns:a16="http://schemas.microsoft.com/office/drawing/2014/main" id="{3B305B8F-15B3-48B6-B6CB-352D4DC77D3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30" name="Text 3">
          <a:extLst>
            <a:ext uri="{FF2B5EF4-FFF2-40B4-BE49-F238E27FC236}">
              <a16:creationId xmlns:a16="http://schemas.microsoft.com/office/drawing/2014/main" id="{C86116F0-DC89-4FBE-983F-FBB21DEC227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31" name="Text 3">
          <a:extLst>
            <a:ext uri="{FF2B5EF4-FFF2-40B4-BE49-F238E27FC236}">
              <a16:creationId xmlns:a16="http://schemas.microsoft.com/office/drawing/2014/main" id="{23E587B7-0521-4FF1-B84F-50D57DC18A4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32" name="Text 3">
          <a:extLst>
            <a:ext uri="{FF2B5EF4-FFF2-40B4-BE49-F238E27FC236}">
              <a16:creationId xmlns:a16="http://schemas.microsoft.com/office/drawing/2014/main" id="{A1B29305-69BF-4924-B283-640D1E89C09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33" name="Text 3">
          <a:extLst>
            <a:ext uri="{FF2B5EF4-FFF2-40B4-BE49-F238E27FC236}">
              <a16:creationId xmlns:a16="http://schemas.microsoft.com/office/drawing/2014/main" id="{B4CF5F96-70F2-486D-B692-C88E00745B5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34" name="Text 3">
          <a:extLst>
            <a:ext uri="{FF2B5EF4-FFF2-40B4-BE49-F238E27FC236}">
              <a16:creationId xmlns:a16="http://schemas.microsoft.com/office/drawing/2014/main" id="{6130A7ED-52BE-4BC9-AE2E-FA931FB6DE4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35" name="Text 3">
          <a:extLst>
            <a:ext uri="{FF2B5EF4-FFF2-40B4-BE49-F238E27FC236}">
              <a16:creationId xmlns:a16="http://schemas.microsoft.com/office/drawing/2014/main" id="{1BBEA231-079A-451E-BCAE-F701485A11E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36" name="Text 3">
          <a:extLst>
            <a:ext uri="{FF2B5EF4-FFF2-40B4-BE49-F238E27FC236}">
              <a16:creationId xmlns:a16="http://schemas.microsoft.com/office/drawing/2014/main" id="{F1ABDDAC-CDBE-46BF-B022-C3F49D65CE7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37" name="Text 3">
          <a:extLst>
            <a:ext uri="{FF2B5EF4-FFF2-40B4-BE49-F238E27FC236}">
              <a16:creationId xmlns:a16="http://schemas.microsoft.com/office/drawing/2014/main" id="{73259879-715B-4840-AD3D-F13AB75E21B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38" name="Text 3">
          <a:extLst>
            <a:ext uri="{FF2B5EF4-FFF2-40B4-BE49-F238E27FC236}">
              <a16:creationId xmlns:a16="http://schemas.microsoft.com/office/drawing/2014/main" id="{7D2C8A2B-3DDB-4D4A-A8CB-25BA868D32A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39" name="Text 3">
          <a:extLst>
            <a:ext uri="{FF2B5EF4-FFF2-40B4-BE49-F238E27FC236}">
              <a16:creationId xmlns:a16="http://schemas.microsoft.com/office/drawing/2014/main" id="{8E179743-50F9-48B9-B845-E75BDDC5426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40" name="Text 3">
          <a:extLst>
            <a:ext uri="{FF2B5EF4-FFF2-40B4-BE49-F238E27FC236}">
              <a16:creationId xmlns:a16="http://schemas.microsoft.com/office/drawing/2014/main" id="{96464B05-7964-4926-9243-37B3115A109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41" name="Text 3">
          <a:extLst>
            <a:ext uri="{FF2B5EF4-FFF2-40B4-BE49-F238E27FC236}">
              <a16:creationId xmlns:a16="http://schemas.microsoft.com/office/drawing/2014/main" id="{38C5BED4-0DEA-4CAC-98FB-733C3BDFFD4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42" name="Text 3">
          <a:extLst>
            <a:ext uri="{FF2B5EF4-FFF2-40B4-BE49-F238E27FC236}">
              <a16:creationId xmlns:a16="http://schemas.microsoft.com/office/drawing/2014/main" id="{EB61BF5A-17AF-40B0-ADDA-63C1FD65291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43" name="Text 3">
          <a:extLst>
            <a:ext uri="{FF2B5EF4-FFF2-40B4-BE49-F238E27FC236}">
              <a16:creationId xmlns:a16="http://schemas.microsoft.com/office/drawing/2014/main" id="{3203AB25-16F6-4B47-9E5F-FE859EDD043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44" name="Text 3">
          <a:extLst>
            <a:ext uri="{FF2B5EF4-FFF2-40B4-BE49-F238E27FC236}">
              <a16:creationId xmlns:a16="http://schemas.microsoft.com/office/drawing/2014/main" id="{D665461B-3F08-41C2-B5E1-971C86E1411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45" name="Text 3">
          <a:extLst>
            <a:ext uri="{FF2B5EF4-FFF2-40B4-BE49-F238E27FC236}">
              <a16:creationId xmlns:a16="http://schemas.microsoft.com/office/drawing/2014/main" id="{3AFF1231-8B61-4E33-B2BC-9006598D027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46" name="Text 3">
          <a:extLst>
            <a:ext uri="{FF2B5EF4-FFF2-40B4-BE49-F238E27FC236}">
              <a16:creationId xmlns:a16="http://schemas.microsoft.com/office/drawing/2014/main" id="{64E20D71-D39E-40C0-92B4-445B05603D5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47" name="Text 3">
          <a:extLst>
            <a:ext uri="{FF2B5EF4-FFF2-40B4-BE49-F238E27FC236}">
              <a16:creationId xmlns:a16="http://schemas.microsoft.com/office/drawing/2014/main" id="{F6A54EDD-68BB-4C42-A990-A79FF2992AB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48" name="Text 3">
          <a:extLst>
            <a:ext uri="{FF2B5EF4-FFF2-40B4-BE49-F238E27FC236}">
              <a16:creationId xmlns:a16="http://schemas.microsoft.com/office/drawing/2014/main" id="{D379B90E-F2DE-4089-9D19-DDAD2F80B67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49" name="Text 3">
          <a:extLst>
            <a:ext uri="{FF2B5EF4-FFF2-40B4-BE49-F238E27FC236}">
              <a16:creationId xmlns:a16="http://schemas.microsoft.com/office/drawing/2014/main" id="{AC904058-3C5D-4F97-A26F-833478461B0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50" name="Text 3">
          <a:extLst>
            <a:ext uri="{FF2B5EF4-FFF2-40B4-BE49-F238E27FC236}">
              <a16:creationId xmlns:a16="http://schemas.microsoft.com/office/drawing/2014/main" id="{119570BB-D3C1-44F7-93C2-56299E005CF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51" name="Text 3">
          <a:extLst>
            <a:ext uri="{FF2B5EF4-FFF2-40B4-BE49-F238E27FC236}">
              <a16:creationId xmlns:a16="http://schemas.microsoft.com/office/drawing/2014/main" id="{800AE08C-EB4C-48CA-A6C7-E4410A24175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52" name="Text 3">
          <a:extLst>
            <a:ext uri="{FF2B5EF4-FFF2-40B4-BE49-F238E27FC236}">
              <a16:creationId xmlns:a16="http://schemas.microsoft.com/office/drawing/2014/main" id="{79EB2212-2632-4AE7-B98D-3A13F67DD54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53" name="Text 3">
          <a:extLst>
            <a:ext uri="{FF2B5EF4-FFF2-40B4-BE49-F238E27FC236}">
              <a16:creationId xmlns:a16="http://schemas.microsoft.com/office/drawing/2014/main" id="{0E38F579-2DCD-43D0-86C7-AD0BE128905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54" name="Text 3">
          <a:extLst>
            <a:ext uri="{FF2B5EF4-FFF2-40B4-BE49-F238E27FC236}">
              <a16:creationId xmlns:a16="http://schemas.microsoft.com/office/drawing/2014/main" id="{4D31687B-7B5D-451C-B71A-4F7837F8595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55" name="Text 3">
          <a:extLst>
            <a:ext uri="{FF2B5EF4-FFF2-40B4-BE49-F238E27FC236}">
              <a16:creationId xmlns:a16="http://schemas.microsoft.com/office/drawing/2014/main" id="{8C87B7AB-849F-4768-B81E-9ABD28C85BA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56" name="Text 3">
          <a:extLst>
            <a:ext uri="{FF2B5EF4-FFF2-40B4-BE49-F238E27FC236}">
              <a16:creationId xmlns:a16="http://schemas.microsoft.com/office/drawing/2014/main" id="{67D32EB7-8D1F-40F9-A6B9-71557A99E0F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57" name="Text 3">
          <a:extLst>
            <a:ext uri="{FF2B5EF4-FFF2-40B4-BE49-F238E27FC236}">
              <a16:creationId xmlns:a16="http://schemas.microsoft.com/office/drawing/2014/main" id="{19FAC765-F8F2-465D-88B2-A20C81146BD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58" name="Text 3">
          <a:extLst>
            <a:ext uri="{FF2B5EF4-FFF2-40B4-BE49-F238E27FC236}">
              <a16:creationId xmlns:a16="http://schemas.microsoft.com/office/drawing/2014/main" id="{ED13203D-6B8B-45B4-99A4-7EB090CD4ED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59" name="Text 3">
          <a:extLst>
            <a:ext uri="{FF2B5EF4-FFF2-40B4-BE49-F238E27FC236}">
              <a16:creationId xmlns:a16="http://schemas.microsoft.com/office/drawing/2014/main" id="{F155F897-F8D1-47A1-8BE4-6B9328D58C3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60" name="Text 3">
          <a:extLst>
            <a:ext uri="{FF2B5EF4-FFF2-40B4-BE49-F238E27FC236}">
              <a16:creationId xmlns:a16="http://schemas.microsoft.com/office/drawing/2014/main" id="{50B564FB-4D04-4339-B310-12636DD296A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61" name="Text 3">
          <a:extLst>
            <a:ext uri="{FF2B5EF4-FFF2-40B4-BE49-F238E27FC236}">
              <a16:creationId xmlns:a16="http://schemas.microsoft.com/office/drawing/2014/main" id="{F5209446-27D7-4B4A-B56A-1CFF966B15D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62" name="Text 3">
          <a:extLst>
            <a:ext uri="{FF2B5EF4-FFF2-40B4-BE49-F238E27FC236}">
              <a16:creationId xmlns:a16="http://schemas.microsoft.com/office/drawing/2014/main" id="{C25421BE-A3D6-4EEB-B945-E6278C0C263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63" name="Text 3">
          <a:extLst>
            <a:ext uri="{FF2B5EF4-FFF2-40B4-BE49-F238E27FC236}">
              <a16:creationId xmlns:a16="http://schemas.microsoft.com/office/drawing/2014/main" id="{B1226BE2-E1E4-4C2F-9419-750EC48E50E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64" name="Text 3">
          <a:extLst>
            <a:ext uri="{FF2B5EF4-FFF2-40B4-BE49-F238E27FC236}">
              <a16:creationId xmlns:a16="http://schemas.microsoft.com/office/drawing/2014/main" id="{894D89F7-2EB7-4BE2-9161-ECBDEF920B0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65" name="Text 3">
          <a:extLst>
            <a:ext uri="{FF2B5EF4-FFF2-40B4-BE49-F238E27FC236}">
              <a16:creationId xmlns:a16="http://schemas.microsoft.com/office/drawing/2014/main" id="{B4F68166-1DA6-4349-BCA4-09B33D1FD3E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66" name="Text 3">
          <a:extLst>
            <a:ext uri="{FF2B5EF4-FFF2-40B4-BE49-F238E27FC236}">
              <a16:creationId xmlns:a16="http://schemas.microsoft.com/office/drawing/2014/main" id="{A3E03D1D-33B8-4D32-852E-AD0BA66330F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67" name="Text 3">
          <a:extLst>
            <a:ext uri="{FF2B5EF4-FFF2-40B4-BE49-F238E27FC236}">
              <a16:creationId xmlns:a16="http://schemas.microsoft.com/office/drawing/2014/main" id="{6BFC77B5-6DD0-4BCF-8AD6-6DFB87F37E5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68" name="Text 3">
          <a:extLst>
            <a:ext uri="{FF2B5EF4-FFF2-40B4-BE49-F238E27FC236}">
              <a16:creationId xmlns:a16="http://schemas.microsoft.com/office/drawing/2014/main" id="{DE442F96-9E04-48E2-A8A7-73A1B507417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69" name="Text 3">
          <a:extLst>
            <a:ext uri="{FF2B5EF4-FFF2-40B4-BE49-F238E27FC236}">
              <a16:creationId xmlns:a16="http://schemas.microsoft.com/office/drawing/2014/main" id="{26332A68-14AF-47EB-81D8-EEC22130E91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70" name="Text 3">
          <a:extLst>
            <a:ext uri="{FF2B5EF4-FFF2-40B4-BE49-F238E27FC236}">
              <a16:creationId xmlns:a16="http://schemas.microsoft.com/office/drawing/2014/main" id="{66B0E03C-13DA-4BD7-A716-49725461DFF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71" name="Text 3">
          <a:extLst>
            <a:ext uri="{FF2B5EF4-FFF2-40B4-BE49-F238E27FC236}">
              <a16:creationId xmlns:a16="http://schemas.microsoft.com/office/drawing/2014/main" id="{3C4660F2-0601-4B25-83B3-6F6CA6D5691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72" name="Text 3">
          <a:extLst>
            <a:ext uri="{FF2B5EF4-FFF2-40B4-BE49-F238E27FC236}">
              <a16:creationId xmlns:a16="http://schemas.microsoft.com/office/drawing/2014/main" id="{DF71453A-6357-455B-9077-30E14037A04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73" name="Text 3">
          <a:extLst>
            <a:ext uri="{FF2B5EF4-FFF2-40B4-BE49-F238E27FC236}">
              <a16:creationId xmlns:a16="http://schemas.microsoft.com/office/drawing/2014/main" id="{73FF91C7-8DFC-4B64-B787-085DEA7AF15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74" name="Text 3">
          <a:extLst>
            <a:ext uri="{FF2B5EF4-FFF2-40B4-BE49-F238E27FC236}">
              <a16:creationId xmlns:a16="http://schemas.microsoft.com/office/drawing/2014/main" id="{282F6D51-3AC0-4FEF-BA85-C405F8BD5F0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75" name="Text 3">
          <a:extLst>
            <a:ext uri="{FF2B5EF4-FFF2-40B4-BE49-F238E27FC236}">
              <a16:creationId xmlns:a16="http://schemas.microsoft.com/office/drawing/2014/main" id="{E66AF5E0-B039-47BA-9D1D-E4935E042CC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76" name="Text 3">
          <a:extLst>
            <a:ext uri="{FF2B5EF4-FFF2-40B4-BE49-F238E27FC236}">
              <a16:creationId xmlns:a16="http://schemas.microsoft.com/office/drawing/2014/main" id="{3E119E5B-343E-43EC-995F-764A2624ECF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77" name="Text 3">
          <a:extLst>
            <a:ext uri="{FF2B5EF4-FFF2-40B4-BE49-F238E27FC236}">
              <a16:creationId xmlns:a16="http://schemas.microsoft.com/office/drawing/2014/main" id="{D799FCE0-FF20-4A4E-A2F2-881865BFFAA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78" name="Text 3">
          <a:extLst>
            <a:ext uri="{FF2B5EF4-FFF2-40B4-BE49-F238E27FC236}">
              <a16:creationId xmlns:a16="http://schemas.microsoft.com/office/drawing/2014/main" id="{A4E22A03-7048-4282-BF90-80333C2CB51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79" name="Text 3">
          <a:extLst>
            <a:ext uri="{FF2B5EF4-FFF2-40B4-BE49-F238E27FC236}">
              <a16:creationId xmlns:a16="http://schemas.microsoft.com/office/drawing/2014/main" id="{6E55443A-FA5C-466F-A57C-791943751AF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80" name="Text 3">
          <a:extLst>
            <a:ext uri="{FF2B5EF4-FFF2-40B4-BE49-F238E27FC236}">
              <a16:creationId xmlns:a16="http://schemas.microsoft.com/office/drawing/2014/main" id="{A0E9CB80-42CA-44D2-92F7-C964F331E94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81" name="Text 3">
          <a:extLst>
            <a:ext uri="{FF2B5EF4-FFF2-40B4-BE49-F238E27FC236}">
              <a16:creationId xmlns:a16="http://schemas.microsoft.com/office/drawing/2014/main" id="{B1A22B85-35DB-4702-8851-A7A73F5CBBB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82" name="Text 3">
          <a:extLst>
            <a:ext uri="{FF2B5EF4-FFF2-40B4-BE49-F238E27FC236}">
              <a16:creationId xmlns:a16="http://schemas.microsoft.com/office/drawing/2014/main" id="{A5D8C002-55A3-4E2C-92F5-7D72582FC55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83" name="Text 3">
          <a:extLst>
            <a:ext uri="{FF2B5EF4-FFF2-40B4-BE49-F238E27FC236}">
              <a16:creationId xmlns:a16="http://schemas.microsoft.com/office/drawing/2014/main" id="{D120CDF2-F63A-47BD-A3A4-419F93E56A6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84" name="Text 3">
          <a:extLst>
            <a:ext uri="{FF2B5EF4-FFF2-40B4-BE49-F238E27FC236}">
              <a16:creationId xmlns:a16="http://schemas.microsoft.com/office/drawing/2014/main" id="{BE8ED1DC-9F67-4934-B352-A684A59582E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85" name="Text 3">
          <a:extLst>
            <a:ext uri="{FF2B5EF4-FFF2-40B4-BE49-F238E27FC236}">
              <a16:creationId xmlns:a16="http://schemas.microsoft.com/office/drawing/2014/main" id="{F6FA0575-30A1-428E-AE80-A745EC981B2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86" name="Text 3">
          <a:extLst>
            <a:ext uri="{FF2B5EF4-FFF2-40B4-BE49-F238E27FC236}">
              <a16:creationId xmlns:a16="http://schemas.microsoft.com/office/drawing/2014/main" id="{2C554DB7-B4DB-4DB1-B473-1588EB25E57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87" name="Text 3">
          <a:extLst>
            <a:ext uri="{FF2B5EF4-FFF2-40B4-BE49-F238E27FC236}">
              <a16:creationId xmlns:a16="http://schemas.microsoft.com/office/drawing/2014/main" id="{F1317148-3203-4DAA-8E8D-3933EAC0BDD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88" name="Text 3">
          <a:extLst>
            <a:ext uri="{FF2B5EF4-FFF2-40B4-BE49-F238E27FC236}">
              <a16:creationId xmlns:a16="http://schemas.microsoft.com/office/drawing/2014/main" id="{60EB2981-2137-437E-B49B-36601BBD4C4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89" name="Text 3">
          <a:extLst>
            <a:ext uri="{FF2B5EF4-FFF2-40B4-BE49-F238E27FC236}">
              <a16:creationId xmlns:a16="http://schemas.microsoft.com/office/drawing/2014/main" id="{25EA1A7A-EE75-40C7-9E2C-CB949E35387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90" name="Text 3">
          <a:extLst>
            <a:ext uri="{FF2B5EF4-FFF2-40B4-BE49-F238E27FC236}">
              <a16:creationId xmlns:a16="http://schemas.microsoft.com/office/drawing/2014/main" id="{83598BB5-A35A-45CB-B166-066723D8B99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91" name="Text 3">
          <a:extLst>
            <a:ext uri="{FF2B5EF4-FFF2-40B4-BE49-F238E27FC236}">
              <a16:creationId xmlns:a16="http://schemas.microsoft.com/office/drawing/2014/main" id="{001639EA-6D9B-4585-870B-7A66BB2E327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92" name="Text 3">
          <a:extLst>
            <a:ext uri="{FF2B5EF4-FFF2-40B4-BE49-F238E27FC236}">
              <a16:creationId xmlns:a16="http://schemas.microsoft.com/office/drawing/2014/main" id="{EB3EC297-5AB0-4E9C-96D9-01FF3BB0B99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93" name="Text 3">
          <a:extLst>
            <a:ext uri="{FF2B5EF4-FFF2-40B4-BE49-F238E27FC236}">
              <a16:creationId xmlns:a16="http://schemas.microsoft.com/office/drawing/2014/main" id="{62609871-F092-43A4-BC89-709F15D0F10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94" name="Text 3">
          <a:extLst>
            <a:ext uri="{FF2B5EF4-FFF2-40B4-BE49-F238E27FC236}">
              <a16:creationId xmlns:a16="http://schemas.microsoft.com/office/drawing/2014/main" id="{3D496950-FA13-4F03-9FEF-CDDF55A222F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95" name="Text 3">
          <a:extLst>
            <a:ext uri="{FF2B5EF4-FFF2-40B4-BE49-F238E27FC236}">
              <a16:creationId xmlns:a16="http://schemas.microsoft.com/office/drawing/2014/main" id="{D0E4CDAC-967B-4F48-A1DC-333CBD6E58F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96" name="Text 3">
          <a:extLst>
            <a:ext uri="{FF2B5EF4-FFF2-40B4-BE49-F238E27FC236}">
              <a16:creationId xmlns:a16="http://schemas.microsoft.com/office/drawing/2014/main" id="{41F9B9FC-AA2C-405B-B77E-7D1A4D551EA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097" name="Text 3">
          <a:extLst>
            <a:ext uri="{FF2B5EF4-FFF2-40B4-BE49-F238E27FC236}">
              <a16:creationId xmlns:a16="http://schemas.microsoft.com/office/drawing/2014/main" id="{E8E051CD-58E2-4B8E-B63C-6E37AF40C67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098" name="Text 3">
          <a:extLst>
            <a:ext uri="{FF2B5EF4-FFF2-40B4-BE49-F238E27FC236}">
              <a16:creationId xmlns:a16="http://schemas.microsoft.com/office/drawing/2014/main" id="{5851E03E-112D-4224-B3CF-91C24B9A361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099" name="Text 3">
          <a:extLst>
            <a:ext uri="{FF2B5EF4-FFF2-40B4-BE49-F238E27FC236}">
              <a16:creationId xmlns:a16="http://schemas.microsoft.com/office/drawing/2014/main" id="{D133778A-DCCA-4D0E-A909-59D81B51DA0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00" name="Text 3">
          <a:extLst>
            <a:ext uri="{FF2B5EF4-FFF2-40B4-BE49-F238E27FC236}">
              <a16:creationId xmlns:a16="http://schemas.microsoft.com/office/drawing/2014/main" id="{EB633B1E-7A51-4B68-A570-3CB5FE6EFF5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01" name="Text 3">
          <a:extLst>
            <a:ext uri="{FF2B5EF4-FFF2-40B4-BE49-F238E27FC236}">
              <a16:creationId xmlns:a16="http://schemas.microsoft.com/office/drawing/2014/main" id="{AF487AF7-3719-4D74-8DFB-AFAC33DE2FD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02" name="Text 3">
          <a:extLst>
            <a:ext uri="{FF2B5EF4-FFF2-40B4-BE49-F238E27FC236}">
              <a16:creationId xmlns:a16="http://schemas.microsoft.com/office/drawing/2014/main" id="{C35C4ADC-BA12-4B66-AF9F-75F2EC440F6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03" name="Text 3">
          <a:extLst>
            <a:ext uri="{FF2B5EF4-FFF2-40B4-BE49-F238E27FC236}">
              <a16:creationId xmlns:a16="http://schemas.microsoft.com/office/drawing/2014/main" id="{DABC728D-BF4C-4FAE-BBB4-554A67406FE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04" name="Text 3">
          <a:extLst>
            <a:ext uri="{FF2B5EF4-FFF2-40B4-BE49-F238E27FC236}">
              <a16:creationId xmlns:a16="http://schemas.microsoft.com/office/drawing/2014/main" id="{1D553F51-E078-4669-8CD0-64F0B60044F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05" name="Text 3">
          <a:extLst>
            <a:ext uri="{FF2B5EF4-FFF2-40B4-BE49-F238E27FC236}">
              <a16:creationId xmlns:a16="http://schemas.microsoft.com/office/drawing/2014/main" id="{F52BFF08-ED2C-4978-B421-DC4CDBCBFDD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06" name="Text 3">
          <a:extLst>
            <a:ext uri="{FF2B5EF4-FFF2-40B4-BE49-F238E27FC236}">
              <a16:creationId xmlns:a16="http://schemas.microsoft.com/office/drawing/2014/main" id="{915B9CA6-1015-44F0-828C-A49CA5CC9D3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07" name="Text 3">
          <a:extLst>
            <a:ext uri="{FF2B5EF4-FFF2-40B4-BE49-F238E27FC236}">
              <a16:creationId xmlns:a16="http://schemas.microsoft.com/office/drawing/2014/main" id="{E311B9DB-E43E-4187-9D4E-1183278B69F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08" name="Text 3">
          <a:extLst>
            <a:ext uri="{FF2B5EF4-FFF2-40B4-BE49-F238E27FC236}">
              <a16:creationId xmlns:a16="http://schemas.microsoft.com/office/drawing/2014/main" id="{5D05C931-B7CD-4B97-9D26-8969A8BE303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09" name="Text 3">
          <a:extLst>
            <a:ext uri="{FF2B5EF4-FFF2-40B4-BE49-F238E27FC236}">
              <a16:creationId xmlns:a16="http://schemas.microsoft.com/office/drawing/2014/main" id="{EAD98FB1-5D5F-4878-8351-04C20DC331A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10" name="Text 3">
          <a:extLst>
            <a:ext uri="{FF2B5EF4-FFF2-40B4-BE49-F238E27FC236}">
              <a16:creationId xmlns:a16="http://schemas.microsoft.com/office/drawing/2014/main" id="{27D0C59D-B7FB-4AED-A2A0-BFF4F77BEF5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11" name="Text 3">
          <a:extLst>
            <a:ext uri="{FF2B5EF4-FFF2-40B4-BE49-F238E27FC236}">
              <a16:creationId xmlns:a16="http://schemas.microsoft.com/office/drawing/2014/main" id="{C8B0E666-FF81-47C9-A283-5D0ABD2E7DA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12" name="Text 3">
          <a:extLst>
            <a:ext uri="{FF2B5EF4-FFF2-40B4-BE49-F238E27FC236}">
              <a16:creationId xmlns:a16="http://schemas.microsoft.com/office/drawing/2014/main" id="{168B0621-A5AC-4F84-A9DF-6A7237196D5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13" name="Text 3">
          <a:extLst>
            <a:ext uri="{FF2B5EF4-FFF2-40B4-BE49-F238E27FC236}">
              <a16:creationId xmlns:a16="http://schemas.microsoft.com/office/drawing/2014/main" id="{4CCB15FA-2166-4CFE-9B97-AE985C6505E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14" name="Text 3">
          <a:extLst>
            <a:ext uri="{FF2B5EF4-FFF2-40B4-BE49-F238E27FC236}">
              <a16:creationId xmlns:a16="http://schemas.microsoft.com/office/drawing/2014/main" id="{1A351F3C-83C4-4D69-B837-10A8A6DF564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15" name="Text 3">
          <a:extLst>
            <a:ext uri="{FF2B5EF4-FFF2-40B4-BE49-F238E27FC236}">
              <a16:creationId xmlns:a16="http://schemas.microsoft.com/office/drawing/2014/main" id="{CDEC2874-7D3E-4550-B0B1-B35F2BD6D50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16" name="Text 3">
          <a:extLst>
            <a:ext uri="{FF2B5EF4-FFF2-40B4-BE49-F238E27FC236}">
              <a16:creationId xmlns:a16="http://schemas.microsoft.com/office/drawing/2014/main" id="{31ACAF00-022F-4A6A-B795-27299F990C8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17" name="Text 3">
          <a:extLst>
            <a:ext uri="{FF2B5EF4-FFF2-40B4-BE49-F238E27FC236}">
              <a16:creationId xmlns:a16="http://schemas.microsoft.com/office/drawing/2014/main" id="{7D983820-FD4F-43F1-AACA-C36819D4B59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18" name="Text 3">
          <a:extLst>
            <a:ext uri="{FF2B5EF4-FFF2-40B4-BE49-F238E27FC236}">
              <a16:creationId xmlns:a16="http://schemas.microsoft.com/office/drawing/2014/main" id="{A762227C-6CE0-41A7-B49A-70E157E79CA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19" name="Text 3">
          <a:extLst>
            <a:ext uri="{FF2B5EF4-FFF2-40B4-BE49-F238E27FC236}">
              <a16:creationId xmlns:a16="http://schemas.microsoft.com/office/drawing/2014/main" id="{A96CAF54-11A3-4AF2-A0D7-CA52A37A2C3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20" name="Text 3">
          <a:extLst>
            <a:ext uri="{FF2B5EF4-FFF2-40B4-BE49-F238E27FC236}">
              <a16:creationId xmlns:a16="http://schemas.microsoft.com/office/drawing/2014/main" id="{B071756A-ACD0-4EB3-81E9-7741F626C3F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21" name="Text 3">
          <a:extLst>
            <a:ext uri="{FF2B5EF4-FFF2-40B4-BE49-F238E27FC236}">
              <a16:creationId xmlns:a16="http://schemas.microsoft.com/office/drawing/2014/main" id="{9859AC8C-F40E-43AE-9660-90388CF3973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22" name="Text 3">
          <a:extLst>
            <a:ext uri="{FF2B5EF4-FFF2-40B4-BE49-F238E27FC236}">
              <a16:creationId xmlns:a16="http://schemas.microsoft.com/office/drawing/2014/main" id="{9BB6EE71-3AAF-486D-A591-9CB6C71196B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23" name="Text 3">
          <a:extLst>
            <a:ext uri="{FF2B5EF4-FFF2-40B4-BE49-F238E27FC236}">
              <a16:creationId xmlns:a16="http://schemas.microsoft.com/office/drawing/2014/main" id="{EBC2CBDA-CCB0-4020-85F9-BF6744813B6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24" name="Text 3">
          <a:extLst>
            <a:ext uri="{FF2B5EF4-FFF2-40B4-BE49-F238E27FC236}">
              <a16:creationId xmlns:a16="http://schemas.microsoft.com/office/drawing/2014/main" id="{2D80E711-0DB4-475A-A600-3F6C645A3B4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25" name="Text 3">
          <a:extLst>
            <a:ext uri="{FF2B5EF4-FFF2-40B4-BE49-F238E27FC236}">
              <a16:creationId xmlns:a16="http://schemas.microsoft.com/office/drawing/2014/main" id="{E0D189F5-D04E-4FDF-A18F-510FB9C7F0D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26" name="Text 3">
          <a:extLst>
            <a:ext uri="{FF2B5EF4-FFF2-40B4-BE49-F238E27FC236}">
              <a16:creationId xmlns:a16="http://schemas.microsoft.com/office/drawing/2014/main" id="{487250EF-AE2F-4352-B788-746259157F0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27" name="Text 3">
          <a:extLst>
            <a:ext uri="{FF2B5EF4-FFF2-40B4-BE49-F238E27FC236}">
              <a16:creationId xmlns:a16="http://schemas.microsoft.com/office/drawing/2014/main" id="{6AF339B3-7444-4C91-BE3F-977A4628252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28" name="Text 3">
          <a:extLst>
            <a:ext uri="{FF2B5EF4-FFF2-40B4-BE49-F238E27FC236}">
              <a16:creationId xmlns:a16="http://schemas.microsoft.com/office/drawing/2014/main" id="{91E5A5BC-8DDF-4DE4-8D38-FB7847543B1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29" name="Text 3">
          <a:extLst>
            <a:ext uri="{FF2B5EF4-FFF2-40B4-BE49-F238E27FC236}">
              <a16:creationId xmlns:a16="http://schemas.microsoft.com/office/drawing/2014/main" id="{36B06B6E-5679-4A2A-AA1F-47756E0D51B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30" name="Text 3">
          <a:extLst>
            <a:ext uri="{FF2B5EF4-FFF2-40B4-BE49-F238E27FC236}">
              <a16:creationId xmlns:a16="http://schemas.microsoft.com/office/drawing/2014/main" id="{460EBEB7-AAD8-4FA2-B03D-B9324DF99E5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31" name="Text 3">
          <a:extLst>
            <a:ext uri="{FF2B5EF4-FFF2-40B4-BE49-F238E27FC236}">
              <a16:creationId xmlns:a16="http://schemas.microsoft.com/office/drawing/2014/main" id="{5A593C11-0602-4F23-A7FE-5FEF7807894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32" name="Text 3">
          <a:extLst>
            <a:ext uri="{FF2B5EF4-FFF2-40B4-BE49-F238E27FC236}">
              <a16:creationId xmlns:a16="http://schemas.microsoft.com/office/drawing/2014/main" id="{8E61D027-44E6-45A5-B96C-85A5EAB28CD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33" name="Text 3">
          <a:extLst>
            <a:ext uri="{FF2B5EF4-FFF2-40B4-BE49-F238E27FC236}">
              <a16:creationId xmlns:a16="http://schemas.microsoft.com/office/drawing/2014/main" id="{71775312-10B5-454A-8F5F-E43D85C6427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34" name="Text 3">
          <a:extLst>
            <a:ext uri="{FF2B5EF4-FFF2-40B4-BE49-F238E27FC236}">
              <a16:creationId xmlns:a16="http://schemas.microsoft.com/office/drawing/2014/main" id="{F86BF52A-3F4B-493A-8D46-AB3A1386A61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35" name="Text 3">
          <a:extLst>
            <a:ext uri="{FF2B5EF4-FFF2-40B4-BE49-F238E27FC236}">
              <a16:creationId xmlns:a16="http://schemas.microsoft.com/office/drawing/2014/main" id="{18674BFC-01EF-4507-9EF2-385C3EF5047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36" name="Text 3">
          <a:extLst>
            <a:ext uri="{FF2B5EF4-FFF2-40B4-BE49-F238E27FC236}">
              <a16:creationId xmlns:a16="http://schemas.microsoft.com/office/drawing/2014/main" id="{A763CB91-6C33-49FF-BFA4-842DD20E5C3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37" name="Text 3">
          <a:extLst>
            <a:ext uri="{FF2B5EF4-FFF2-40B4-BE49-F238E27FC236}">
              <a16:creationId xmlns:a16="http://schemas.microsoft.com/office/drawing/2014/main" id="{0544B90E-4CA1-48F6-9BE2-485090D7870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38" name="Text 3">
          <a:extLst>
            <a:ext uri="{FF2B5EF4-FFF2-40B4-BE49-F238E27FC236}">
              <a16:creationId xmlns:a16="http://schemas.microsoft.com/office/drawing/2014/main" id="{E6BB3418-9482-4662-85EA-2627F3EA34B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39" name="Text 3">
          <a:extLst>
            <a:ext uri="{FF2B5EF4-FFF2-40B4-BE49-F238E27FC236}">
              <a16:creationId xmlns:a16="http://schemas.microsoft.com/office/drawing/2014/main" id="{7BCF5338-DB85-4D55-A6F2-27D36443B63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40" name="Text 3">
          <a:extLst>
            <a:ext uri="{FF2B5EF4-FFF2-40B4-BE49-F238E27FC236}">
              <a16:creationId xmlns:a16="http://schemas.microsoft.com/office/drawing/2014/main" id="{F0328600-871A-43E3-8DEA-662295668A0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41" name="Text 3">
          <a:extLst>
            <a:ext uri="{FF2B5EF4-FFF2-40B4-BE49-F238E27FC236}">
              <a16:creationId xmlns:a16="http://schemas.microsoft.com/office/drawing/2014/main" id="{6D987C93-CCA9-4701-8D54-E0C23FB17C1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42" name="Text 3">
          <a:extLst>
            <a:ext uri="{FF2B5EF4-FFF2-40B4-BE49-F238E27FC236}">
              <a16:creationId xmlns:a16="http://schemas.microsoft.com/office/drawing/2014/main" id="{62D2B3AD-49AC-4355-97C3-3DB87E63AC5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43" name="Text 3">
          <a:extLst>
            <a:ext uri="{FF2B5EF4-FFF2-40B4-BE49-F238E27FC236}">
              <a16:creationId xmlns:a16="http://schemas.microsoft.com/office/drawing/2014/main" id="{1CB5477F-3C60-4E42-9548-A7617580562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44" name="Text 3">
          <a:extLst>
            <a:ext uri="{FF2B5EF4-FFF2-40B4-BE49-F238E27FC236}">
              <a16:creationId xmlns:a16="http://schemas.microsoft.com/office/drawing/2014/main" id="{2C987CF1-BDF5-4B8D-8275-DC56C5AC04E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45" name="Text 3">
          <a:extLst>
            <a:ext uri="{FF2B5EF4-FFF2-40B4-BE49-F238E27FC236}">
              <a16:creationId xmlns:a16="http://schemas.microsoft.com/office/drawing/2014/main" id="{C9F38E07-1BAC-4DBB-910F-F7D1598FE15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46" name="Text 3">
          <a:extLst>
            <a:ext uri="{FF2B5EF4-FFF2-40B4-BE49-F238E27FC236}">
              <a16:creationId xmlns:a16="http://schemas.microsoft.com/office/drawing/2014/main" id="{A528E5CD-1302-46C5-88B9-D91BA1A50D6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47" name="Text 3">
          <a:extLst>
            <a:ext uri="{FF2B5EF4-FFF2-40B4-BE49-F238E27FC236}">
              <a16:creationId xmlns:a16="http://schemas.microsoft.com/office/drawing/2014/main" id="{639F1BA4-73D8-4D67-BF83-7E0A0D65B86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48" name="Text 3">
          <a:extLst>
            <a:ext uri="{FF2B5EF4-FFF2-40B4-BE49-F238E27FC236}">
              <a16:creationId xmlns:a16="http://schemas.microsoft.com/office/drawing/2014/main" id="{6AE76118-9CA2-4DFE-8D25-FC5ADB7C048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49" name="Text 3">
          <a:extLst>
            <a:ext uri="{FF2B5EF4-FFF2-40B4-BE49-F238E27FC236}">
              <a16:creationId xmlns:a16="http://schemas.microsoft.com/office/drawing/2014/main" id="{B8F13076-609F-4D74-B929-EAC2A05D99C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50" name="Text 3">
          <a:extLst>
            <a:ext uri="{FF2B5EF4-FFF2-40B4-BE49-F238E27FC236}">
              <a16:creationId xmlns:a16="http://schemas.microsoft.com/office/drawing/2014/main" id="{6FAF3981-3D0F-42EA-BBCF-B2DB6A96C28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51" name="Text 3">
          <a:extLst>
            <a:ext uri="{FF2B5EF4-FFF2-40B4-BE49-F238E27FC236}">
              <a16:creationId xmlns:a16="http://schemas.microsoft.com/office/drawing/2014/main" id="{E632A9C8-D2DE-428A-A19C-03DE0EB46C9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52" name="Text 3">
          <a:extLst>
            <a:ext uri="{FF2B5EF4-FFF2-40B4-BE49-F238E27FC236}">
              <a16:creationId xmlns:a16="http://schemas.microsoft.com/office/drawing/2014/main" id="{7DC65AF7-8118-424B-B861-1E12D57F817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53" name="Text 3">
          <a:extLst>
            <a:ext uri="{FF2B5EF4-FFF2-40B4-BE49-F238E27FC236}">
              <a16:creationId xmlns:a16="http://schemas.microsoft.com/office/drawing/2014/main" id="{0310EF32-5C75-4956-BCFF-15A3F84F4CD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54" name="Text 3">
          <a:extLst>
            <a:ext uri="{FF2B5EF4-FFF2-40B4-BE49-F238E27FC236}">
              <a16:creationId xmlns:a16="http://schemas.microsoft.com/office/drawing/2014/main" id="{8D42D124-C083-4F37-B355-B21B0205250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55" name="Text 3">
          <a:extLst>
            <a:ext uri="{FF2B5EF4-FFF2-40B4-BE49-F238E27FC236}">
              <a16:creationId xmlns:a16="http://schemas.microsoft.com/office/drawing/2014/main" id="{84B5FF82-31E4-4D5B-9157-44C93607223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56" name="Text 3">
          <a:extLst>
            <a:ext uri="{FF2B5EF4-FFF2-40B4-BE49-F238E27FC236}">
              <a16:creationId xmlns:a16="http://schemas.microsoft.com/office/drawing/2014/main" id="{5AF31199-4505-499C-88A1-6A32D99E94B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57" name="Text 3">
          <a:extLst>
            <a:ext uri="{FF2B5EF4-FFF2-40B4-BE49-F238E27FC236}">
              <a16:creationId xmlns:a16="http://schemas.microsoft.com/office/drawing/2014/main" id="{3E7299E9-0865-4659-AF3D-CBB4A062FA9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58" name="Text 3">
          <a:extLst>
            <a:ext uri="{FF2B5EF4-FFF2-40B4-BE49-F238E27FC236}">
              <a16:creationId xmlns:a16="http://schemas.microsoft.com/office/drawing/2014/main" id="{628030F8-133A-498D-9304-0B880259E5B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59" name="Text 3">
          <a:extLst>
            <a:ext uri="{FF2B5EF4-FFF2-40B4-BE49-F238E27FC236}">
              <a16:creationId xmlns:a16="http://schemas.microsoft.com/office/drawing/2014/main" id="{72955FC1-E233-4377-A0AA-BF2FDD28338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60" name="Text 3">
          <a:extLst>
            <a:ext uri="{FF2B5EF4-FFF2-40B4-BE49-F238E27FC236}">
              <a16:creationId xmlns:a16="http://schemas.microsoft.com/office/drawing/2014/main" id="{C6D2579A-DE6C-45C6-89E9-FC953A51A39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61" name="Text 3">
          <a:extLst>
            <a:ext uri="{FF2B5EF4-FFF2-40B4-BE49-F238E27FC236}">
              <a16:creationId xmlns:a16="http://schemas.microsoft.com/office/drawing/2014/main" id="{4476097B-AD2B-4F88-9E0C-0084991C9C7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62" name="Text 3">
          <a:extLst>
            <a:ext uri="{FF2B5EF4-FFF2-40B4-BE49-F238E27FC236}">
              <a16:creationId xmlns:a16="http://schemas.microsoft.com/office/drawing/2014/main" id="{197BE2D9-7201-4679-9275-9AB0D88F675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63" name="Text 3">
          <a:extLst>
            <a:ext uri="{FF2B5EF4-FFF2-40B4-BE49-F238E27FC236}">
              <a16:creationId xmlns:a16="http://schemas.microsoft.com/office/drawing/2014/main" id="{434C2F48-8E5B-4418-8DEB-19397019569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64" name="Text 3">
          <a:extLst>
            <a:ext uri="{FF2B5EF4-FFF2-40B4-BE49-F238E27FC236}">
              <a16:creationId xmlns:a16="http://schemas.microsoft.com/office/drawing/2014/main" id="{6ABB6F6B-6C51-44E0-AF2F-D04A5BB46FA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65" name="Text 3">
          <a:extLst>
            <a:ext uri="{FF2B5EF4-FFF2-40B4-BE49-F238E27FC236}">
              <a16:creationId xmlns:a16="http://schemas.microsoft.com/office/drawing/2014/main" id="{AA88B5F5-C74D-42B2-9F12-24DC5155AC5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66" name="Text 3">
          <a:extLst>
            <a:ext uri="{FF2B5EF4-FFF2-40B4-BE49-F238E27FC236}">
              <a16:creationId xmlns:a16="http://schemas.microsoft.com/office/drawing/2014/main" id="{5D37AADF-DFE5-4FE1-820F-FD887A49E7A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67" name="Text 3">
          <a:extLst>
            <a:ext uri="{FF2B5EF4-FFF2-40B4-BE49-F238E27FC236}">
              <a16:creationId xmlns:a16="http://schemas.microsoft.com/office/drawing/2014/main" id="{BFC79DAC-9507-4120-843C-07D1F9836CB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68" name="Text 3">
          <a:extLst>
            <a:ext uri="{FF2B5EF4-FFF2-40B4-BE49-F238E27FC236}">
              <a16:creationId xmlns:a16="http://schemas.microsoft.com/office/drawing/2014/main" id="{F7CB6EE3-592D-4218-9A4E-AD07F7CCC1D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69" name="Text 3">
          <a:extLst>
            <a:ext uri="{FF2B5EF4-FFF2-40B4-BE49-F238E27FC236}">
              <a16:creationId xmlns:a16="http://schemas.microsoft.com/office/drawing/2014/main" id="{ABB40962-48E1-4BCB-9CAA-6C9259692BE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70" name="Text 3">
          <a:extLst>
            <a:ext uri="{FF2B5EF4-FFF2-40B4-BE49-F238E27FC236}">
              <a16:creationId xmlns:a16="http://schemas.microsoft.com/office/drawing/2014/main" id="{54937F81-82B7-454C-ABD9-67FBD378C7C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71" name="Text 3">
          <a:extLst>
            <a:ext uri="{FF2B5EF4-FFF2-40B4-BE49-F238E27FC236}">
              <a16:creationId xmlns:a16="http://schemas.microsoft.com/office/drawing/2014/main" id="{7B6AF9FC-AC45-422F-A7A8-7C03392FD02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72" name="Text 3">
          <a:extLst>
            <a:ext uri="{FF2B5EF4-FFF2-40B4-BE49-F238E27FC236}">
              <a16:creationId xmlns:a16="http://schemas.microsoft.com/office/drawing/2014/main" id="{46530C06-96BE-4B4B-96FD-02D26F8679A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73" name="Text 3">
          <a:extLst>
            <a:ext uri="{FF2B5EF4-FFF2-40B4-BE49-F238E27FC236}">
              <a16:creationId xmlns:a16="http://schemas.microsoft.com/office/drawing/2014/main" id="{389F451A-98CA-4C7F-8FEA-BC7B9494921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74" name="Text 3">
          <a:extLst>
            <a:ext uri="{FF2B5EF4-FFF2-40B4-BE49-F238E27FC236}">
              <a16:creationId xmlns:a16="http://schemas.microsoft.com/office/drawing/2014/main" id="{6EB531CE-87E1-48AD-B854-16D69CF9141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75" name="Text 3">
          <a:extLst>
            <a:ext uri="{FF2B5EF4-FFF2-40B4-BE49-F238E27FC236}">
              <a16:creationId xmlns:a16="http://schemas.microsoft.com/office/drawing/2014/main" id="{506CF577-F16D-446C-8F4F-749A726BF7A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76" name="Text 3">
          <a:extLst>
            <a:ext uri="{FF2B5EF4-FFF2-40B4-BE49-F238E27FC236}">
              <a16:creationId xmlns:a16="http://schemas.microsoft.com/office/drawing/2014/main" id="{C22A5F52-D319-4D70-849B-623BC9C4C2C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77" name="Text 3">
          <a:extLst>
            <a:ext uri="{FF2B5EF4-FFF2-40B4-BE49-F238E27FC236}">
              <a16:creationId xmlns:a16="http://schemas.microsoft.com/office/drawing/2014/main" id="{0E126748-A6B8-4021-8479-71033FDA083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78" name="Text 3">
          <a:extLst>
            <a:ext uri="{FF2B5EF4-FFF2-40B4-BE49-F238E27FC236}">
              <a16:creationId xmlns:a16="http://schemas.microsoft.com/office/drawing/2014/main" id="{C444534B-D251-4574-8125-95142987C8D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79" name="Text 3">
          <a:extLst>
            <a:ext uri="{FF2B5EF4-FFF2-40B4-BE49-F238E27FC236}">
              <a16:creationId xmlns:a16="http://schemas.microsoft.com/office/drawing/2014/main" id="{23C3E6E8-E933-47C3-AD6C-F4CDD901BA3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80" name="Text 3">
          <a:extLst>
            <a:ext uri="{FF2B5EF4-FFF2-40B4-BE49-F238E27FC236}">
              <a16:creationId xmlns:a16="http://schemas.microsoft.com/office/drawing/2014/main" id="{8504B02D-4DEA-40C4-B0BC-CCE6EACFBF0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81" name="Text 3">
          <a:extLst>
            <a:ext uri="{FF2B5EF4-FFF2-40B4-BE49-F238E27FC236}">
              <a16:creationId xmlns:a16="http://schemas.microsoft.com/office/drawing/2014/main" id="{2563417A-DBBD-4632-B65E-D5670B626EA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82" name="Text 3">
          <a:extLst>
            <a:ext uri="{FF2B5EF4-FFF2-40B4-BE49-F238E27FC236}">
              <a16:creationId xmlns:a16="http://schemas.microsoft.com/office/drawing/2014/main" id="{1226C585-FC1A-4A1F-B0D8-66B0B8E3D7D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83" name="Text 3">
          <a:extLst>
            <a:ext uri="{FF2B5EF4-FFF2-40B4-BE49-F238E27FC236}">
              <a16:creationId xmlns:a16="http://schemas.microsoft.com/office/drawing/2014/main" id="{A198E101-EC74-421F-AE7A-B7BD7503204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84" name="Text 3">
          <a:extLst>
            <a:ext uri="{FF2B5EF4-FFF2-40B4-BE49-F238E27FC236}">
              <a16:creationId xmlns:a16="http://schemas.microsoft.com/office/drawing/2014/main" id="{21A74837-F1FF-4378-9B96-605C8C3C412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85" name="Text 3">
          <a:extLst>
            <a:ext uri="{FF2B5EF4-FFF2-40B4-BE49-F238E27FC236}">
              <a16:creationId xmlns:a16="http://schemas.microsoft.com/office/drawing/2014/main" id="{8C5A6719-4EBB-4134-A7F6-6FD7D01D44F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86" name="Text 3">
          <a:extLst>
            <a:ext uri="{FF2B5EF4-FFF2-40B4-BE49-F238E27FC236}">
              <a16:creationId xmlns:a16="http://schemas.microsoft.com/office/drawing/2014/main" id="{DA1B0060-F15C-4816-B002-A9620AF5874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87" name="Text 3">
          <a:extLst>
            <a:ext uri="{FF2B5EF4-FFF2-40B4-BE49-F238E27FC236}">
              <a16:creationId xmlns:a16="http://schemas.microsoft.com/office/drawing/2014/main" id="{6B4602D4-9B82-4400-8974-D49F203532C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88" name="Text 3">
          <a:extLst>
            <a:ext uri="{FF2B5EF4-FFF2-40B4-BE49-F238E27FC236}">
              <a16:creationId xmlns:a16="http://schemas.microsoft.com/office/drawing/2014/main" id="{FF90CC0B-FED6-46F8-A0DB-26485275B06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89" name="Text 3">
          <a:extLst>
            <a:ext uri="{FF2B5EF4-FFF2-40B4-BE49-F238E27FC236}">
              <a16:creationId xmlns:a16="http://schemas.microsoft.com/office/drawing/2014/main" id="{1CB4B3D4-026C-40DC-9A89-8BFE478AC4E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90" name="Text 3">
          <a:extLst>
            <a:ext uri="{FF2B5EF4-FFF2-40B4-BE49-F238E27FC236}">
              <a16:creationId xmlns:a16="http://schemas.microsoft.com/office/drawing/2014/main" id="{9D91C57F-822A-43F3-B629-E5C9776DA78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91" name="Text 3">
          <a:extLst>
            <a:ext uri="{FF2B5EF4-FFF2-40B4-BE49-F238E27FC236}">
              <a16:creationId xmlns:a16="http://schemas.microsoft.com/office/drawing/2014/main" id="{AC9CD799-A8E0-4CFE-9C9C-D88B3B3904D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92" name="Text 3">
          <a:extLst>
            <a:ext uri="{FF2B5EF4-FFF2-40B4-BE49-F238E27FC236}">
              <a16:creationId xmlns:a16="http://schemas.microsoft.com/office/drawing/2014/main" id="{968366DF-BBB3-48C0-A66B-7C6AA5F6D60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93" name="Text 3">
          <a:extLst>
            <a:ext uri="{FF2B5EF4-FFF2-40B4-BE49-F238E27FC236}">
              <a16:creationId xmlns:a16="http://schemas.microsoft.com/office/drawing/2014/main" id="{778F1CD7-461B-41DC-BD4A-8EC37481A70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94" name="Text 3">
          <a:extLst>
            <a:ext uri="{FF2B5EF4-FFF2-40B4-BE49-F238E27FC236}">
              <a16:creationId xmlns:a16="http://schemas.microsoft.com/office/drawing/2014/main" id="{B07153AD-8781-43FF-8758-445DB77D943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95" name="Text 3">
          <a:extLst>
            <a:ext uri="{FF2B5EF4-FFF2-40B4-BE49-F238E27FC236}">
              <a16:creationId xmlns:a16="http://schemas.microsoft.com/office/drawing/2014/main" id="{558AD272-FF90-4E53-99CD-6C2E84D0CD7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96" name="Text 3">
          <a:extLst>
            <a:ext uri="{FF2B5EF4-FFF2-40B4-BE49-F238E27FC236}">
              <a16:creationId xmlns:a16="http://schemas.microsoft.com/office/drawing/2014/main" id="{82F19703-3AF0-40BD-B0AA-C6EC08B38D9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197" name="Text 3">
          <a:extLst>
            <a:ext uri="{FF2B5EF4-FFF2-40B4-BE49-F238E27FC236}">
              <a16:creationId xmlns:a16="http://schemas.microsoft.com/office/drawing/2014/main" id="{F860DE4C-2F95-4788-B97F-9800984D666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198" name="Text 3">
          <a:extLst>
            <a:ext uri="{FF2B5EF4-FFF2-40B4-BE49-F238E27FC236}">
              <a16:creationId xmlns:a16="http://schemas.microsoft.com/office/drawing/2014/main" id="{8FDDC54C-113D-4DE5-ADDF-87BA46A0776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199" name="Text 3">
          <a:extLst>
            <a:ext uri="{FF2B5EF4-FFF2-40B4-BE49-F238E27FC236}">
              <a16:creationId xmlns:a16="http://schemas.microsoft.com/office/drawing/2014/main" id="{FB088758-032B-4B9E-9613-2D64C53FFEC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00" name="Text 3">
          <a:extLst>
            <a:ext uri="{FF2B5EF4-FFF2-40B4-BE49-F238E27FC236}">
              <a16:creationId xmlns:a16="http://schemas.microsoft.com/office/drawing/2014/main" id="{1724FF63-40F4-4145-926D-1B90F5A886B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01" name="Text 3">
          <a:extLst>
            <a:ext uri="{FF2B5EF4-FFF2-40B4-BE49-F238E27FC236}">
              <a16:creationId xmlns:a16="http://schemas.microsoft.com/office/drawing/2014/main" id="{EB6537FB-F8B4-40E0-A2B3-998D8A06AED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02" name="Text 3">
          <a:extLst>
            <a:ext uri="{FF2B5EF4-FFF2-40B4-BE49-F238E27FC236}">
              <a16:creationId xmlns:a16="http://schemas.microsoft.com/office/drawing/2014/main" id="{11E9968D-8638-46A7-B6A9-AB672A9C0B8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03" name="Text 3">
          <a:extLst>
            <a:ext uri="{FF2B5EF4-FFF2-40B4-BE49-F238E27FC236}">
              <a16:creationId xmlns:a16="http://schemas.microsoft.com/office/drawing/2014/main" id="{AFF28203-5487-4E25-8FE5-DEEE83BAB09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04" name="Text 3">
          <a:extLst>
            <a:ext uri="{FF2B5EF4-FFF2-40B4-BE49-F238E27FC236}">
              <a16:creationId xmlns:a16="http://schemas.microsoft.com/office/drawing/2014/main" id="{AEED3D7F-C889-4574-939A-043558B57D0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05" name="Text 3">
          <a:extLst>
            <a:ext uri="{FF2B5EF4-FFF2-40B4-BE49-F238E27FC236}">
              <a16:creationId xmlns:a16="http://schemas.microsoft.com/office/drawing/2014/main" id="{18A4D9AA-F1B3-49D4-93EC-356ABF3C320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06" name="Text 3">
          <a:extLst>
            <a:ext uri="{FF2B5EF4-FFF2-40B4-BE49-F238E27FC236}">
              <a16:creationId xmlns:a16="http://schemas.microsoft.com/office/drawing/2014/main" id="{E8E93BC9-8269-421E-9691-A1B98D84B21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07" name="Text 3">
          <a:extLst>
            <a:ext uri="{FF2B5EF4-FFF2-40B4-BE49-F238E27FC236}">
              <a16:creationId xmlns:a16="http://schemas.microsoft.com/office/drawing/2014/main" id="{F51228CB-A71E-42E3-B3E6-3801C0ADF7F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08" name="Text 3">
          <a:extLst>
            <a:ext uri="{FF2B5EF4-FFF2-40B4-BE49-F238E27FC236}">
              <a16:creationId xmlns:a16="http://schemas.microsoft.com/office/drawing/2014/main" id="{4A224030-6743-4266-928A-352E97F8BC8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09" name="Text 3">
          <a:extLst>
            <a:ext uri="{FF2B5EF4-FFF2-40B4-BE49-F238E27FC236}">
              <a16:creationId xmlns:a16="http://schemas.microsoft.com/office/drawing/2014/main" id="{9F0E678D-8A34-411B-9C98-ACC4E06BC66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10" name="Text 3">
          <a:extLst>
            <a:ext uri="{FF2B5EF4-FFF2-40B4-BE49-F238E27FC236}">
              <a16:creationId xmlns:a16="http://schemas.microsoft.com/office/drawing/2014/main" id="{BCE24ECE-2356-4058-BF8B-8A94737DFFF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11" name="Text 3">
          <a:extLst>
            <a:ext uri="{FF2B5EF4-FFF2-40B4-BE49-F238E27FC236}">
              <a16:creationId xmlns:a16="http://schemas.microsoft.com/office/drawing/2014/main" id="{4517AF9E-5E0C-40D8-A568-6B80085C791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12" name="Text 3">
          <a:extLst>
            <a:ext uri="{FF2B5EF4-FFF2-40B4-BE49-F238E27FC236}">
              <a16:creationId xmlns:a16="http://schemas.microsoft.com/office/drawing/2014/main" id="{0FF1B2BE-47F3-42D6-BB31-70E665EDC32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13" name="Text 3">
          <a:extLst>
            <a:ext uri="{FF2B5EF4-FFF2-40B4-BE49-F238E27FC236}">
              <a16:creationId xmlns:a16="http://schemas.microsoft.com/office/drawing/2014/main" id="{E85B12C6-213C-4AC7-BD6A-F4685AAC53E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14" name="Text 3">
          <a:extLst>
            <a:ext uri="{FF2B5EF4-FFF2-40B4-BE49-F238E27FC236}">
              <a16:creationId xmlns:a16="http://schemas.microsoft.com/office/drawing/2014/main" id="{8FFB62E9-3197-42C9-8AFD-AE71D073841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15" name="Text 3">
          <a:extLst>
            <a:ext uri="{FF2B5EF4-FFF2-40B4-BE49-F238E27FC236}">
              <a16:creationId xmlns:a16="http://schemas.microsoft.com/office/drawing/2014/main" id="{04DB35E6-B5EF-4A3B-9187-13E574C8978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16" name="Text 3">
          <a:extLst>
            <a:ext uri="{FF2B5EF4-FFF2-40B4-BE49-F238E27FC236}">
              <a16:creationId xmlns:a16="http://schemas.microsoft.com/office/drawing/2014/main" id="{A8EA3F30-BBDA-46F6-A0B2-88B6C777583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17" name="Text 3">
          <a:extLst>
            <a:ext uri="{FF2B5EF4-FFF2-40B4-BE49-F238E27FC236}">
              <a16:creationId xmlns:a16="http://schemas.microsoft.com/office/drawing/2014/main" id="{E1B4D357-5565-48DE-9BCF-B882AB3EA87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18" name="Text 3">
          <a:extLst>
            <a:ext uri="{FF2B5EF4-FFF2-40B4-BE49-F238E27FC236}">
              <a16:creationId xmlns:a16="http://schemas.microsoft.com/office/drawing/2014/main" id="{6DBE1CF6-459E-4013-AA6B-A1DFD489DE1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19" name="Text 3">
          <a:extLst>
            <a:ext uri="{FF2B5EF4-FFF2-40B4-BE49-F238E27FC236}">
              <a16:creationId xmlns:a16="http://schemas.microsoft.com/office/drawing/2014/main" id="{1A4B5327-194E-4319-80E3-7B6C967EA25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20" name="Text 3">
          <a:extLst>
            <a:ext uri="{FF2B5EF4-FFF2-40B4-BE49-F238E27FC236}">
              <a16:creationId xmlns:a16="http://schemas.microsoft.com/office/drawing/2014/main" id="{D72D6143-9AA2-4C3B-9C3C-FB7A94CBAFF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21" name="Text 3">
          <a:extLst>
            <a:ext uri="{FF2B5EF4-FFF2-40B4-BE49-F238E27FC236}">
              <a16:creationId xmlns:a16="http://schemas.microsoft.com/office/drawing/2014/main" id="{DEF728F3-2BBD-4A22-8A3E-77C71D6E3CB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22" name="Text 3">
          <a:extLst>
            <a:ext uri="{FF2B5EF4-FFF2-40B4-BE49-F238E27FC236}">
              <a16:creationId xmlns:a16="http://schemas.microsoft.com/office/drawing/2014/main" id="{EA5845CE-9F96-45D3-8537-8671E0BEA72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23" name="Text 3">
          <a:extLst>
            <a:ext uri="{FF2B5EF4-FFF2-40B4-BE49-F238E27FC236}">
              <a16:creationId xmlns:a16="http://schemas.microsoft.com/office/drawing/2014/main" id="{2C7DBE16-3B31-4EE9-9925-6DF6A0F1339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24" name="Text 3">
          <a:extLst>
            <a:ext uri="{FF2B5EF4-FFF2-40B4-BE49-F238E27FC236}">
              <a16:creationId xmlns:a16="http://schemas.microsoft.com/office/drawing/2014/main" id="{FC8B30AD-8985-4A08-ACD4-0DA7C7684C2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25" name="Text 3">
          <a:extLst>
            <a:ext uri="{FF2B5EF4-FFF2-40B4-BE49-F238E27FC236}">
              <a16:creationId xmlns:a16="http://schemas.microsoft.com/office/drawing/2014/main" id="{BE72593D-095E-4FB0-B12E-D0006EF2F73A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26" name="Text 3">
          <a:extLst>
            <a:ext uri="{FF2B5EF4-FFF2-40B4-BE49-F238E27FC236}">
              <a16:creationId xmlns:a16="http://schemas.microsoft.com/office/drawing/2014/main" id="{EADF576D-166B-434E-A164-C88C8B03B1B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27" name="Text 3">
          <a:extLst>
            <a:ext uri="{FF2B5EF4-FFF2-40B4-BE49-F238E27FC236}">
              <a16:creationId xmlns:a16="http://schemas.microsoft.com/office/drawing/2014/main" id="{EE1D2503-EF1C-4ECF-81DB-C6B9E0241D6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28" name="Text 3">
          <a:extLst>
            <a:ext uri="{FF2B5EF4-FFF2-40B4-BE49-F238E27FC236}">
              <a16:creationId xmlns:a16="http://schemas.microsoft.com/office/drawing/2014/main" id="{81C71988-0BD5-4706-AB5F-755450544C0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29" name="Text 3">
          <a:extLst>
            <a:ext uri="{FF2B5EF4-FFF2-40B4-BE49-F238E27FC236}">
              <a16:creationId xmlns:a16="http://schemas.microsoft.com/office/drawing/2014/main" id="{BFD2E0C2-DBD8-4A84-B057-07349ADF888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30" name="Text 3">
          <a:extLst>
            <a:ext uri="{FF2B5EF4-FFF2-40B4-BE49-F238E27FC236}">
              <a16:creationId xmlns:a16="http://schemas.microsoft.com/office/drawing/2014/main" id="{D2E7D6BF-06A7-47FE-A3D6-D1C7AFF3545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31" name="Text 3">
          <a:extLst>
            <a:ext uri="{FF2B5EF4-FFF2-40B4-BE49-F238E27FC236}">
              <a16:creationId xmlns:a16="http://schemas.microsoft.com/office/drawing/2014/main" id="{6C37753D-B32A-4958-B06D-762D17F7AA4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32" name="Text 3">
          <a:extLst>
            <a:ext uri="{FF2B5EF4-FFF2-40B4-BE49-F238E27FC236}">
              <a16:creationId xmlns:a16="http://schemas.microsoft.com/office/drawing/2014/main" id="{F177E6CA-4070-48E3-90AC-F68C80D1924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33" name="Text 3">
          <a:extLst>
            <a:ext uri="{FF2B5EF4-FFF2-40B4-BE49-F238E27FC236}">
              <a16:creationId xmlns:a16="http://schemas.microsoft.com/office/drawing/2014/main" id="{60F4F120-7444-43DC-8560-A833885DA28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34" name="Text 3">
          <a:extLst>
            <a:ext uri="{FF2B5EF4-FFF2-40B4-BE49-F238E27FC236}">
              <a16:creationId xmlns:a16="http://schemas.microsoft.com/office/drawing/2014/main" id="{4E818A49-0EE2-489C-AF0E-D53B6B63DAC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35" name="Text 3">
          <a:extLst>
            <a:ext uri="{FF2B5EF4-FFF2-40B4-BE49-F238E27FC236}">
              <a16:creationId xmlns:a16="http://schemas.microsoft.com/office/drawing/2014/main" id="{37EDFCC9-20D7-4F4E-87B6-0A33934F2B7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36" name="Text 3">
          <a:extLst>
            <a:ext uri="{FF2B5EF4-FFF2-40B4-BE49-F238E27FC236}">
              <a16:creationId xmlns:a16="http://schemas.microsoft.com/office/drawing/2014/main" id="{44821415-D145-4974-AE2C-1007E60023C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37" name="Text 3">
          <a:extLst>
            <a:ext uri="{FF2B5EF4-FFF2-40B4-BE49-F238E27FC236}">
              <a16:creationId xmlns:a16="http://schemas.microsoft.com/office/drawing/2014/main" id="{749935BE-5338-45E0-A40F-D79C8BBD7F4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38" name="Text 3">
          <a:extLst>
            <a:ext uri="{FF2B5EF4-FFF2-40B4-BE49-F238E27FC236}">
              <a16:creationId xmlns:a16="http://schemas.microsoft.com/office/drawing/2014/main" id="{0CB4E2F5-81E9-4F1E-8A87-AC5D62CB224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39" name="Text 3">
          <a:extLst>
            <a:ext uri="{FF2B5EF4-FFF2-40B4-BE49-F238E27FC236}">
              <a16:creationId xmlns:a16="http://schemas.microsoft.com/office/drawing/2014/main" id="{B22570AD-FF48-4C61-9165-F05DBA98193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40" name="Text 3">
          <a:extLst>
            <a:ext uri="{FF2B5EF4-FFF2-40B4-BE49-F238E27FC236}">
              <a16:creationId xmlns:a16="http://schemas.microsoft.com/office/drawing/2014/main" id="{9720AA0A-8BDD-482E-A754-15D5F178E25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41" name="Text 3">
          <a:extLst>
            <a:ext uri="{FF2B5EF4-FFF2-40B4-BE49-F238E27FC236}">
              <a16:creationId xmlns:a16="http://schemas.microsoft.com/office/drawing/2014/main" id="{02421ED6-0184-4425-88FE-AB65DDC4B73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42" name="Text 3">
          <a:extLst>
            <a:ext uri="{FF2B5EF4-FFF2-40B4-BE49-F238E27FC236}">
              <a16:creationId xmlns:a16="http://schemas.microsoft.com/office/drawing/2014/main" id="{AB585B7B-6399-4D45-9E8E-8937AC1D28A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43" name="Text 3">
          <a:extLst>
            <a:ext uri="{FF2B5EF4-FFF2-40B4-BE49-F238E27FC236}">
              <a16:creationId xmlns:a16="http://schemas.microsoft.com/office/drawing/2014/main" id="{86A9D610-A458-49F3-B627-C400E326906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44" name="Text 3">
          <a:extLst>
            <a:ext uri="{FF2B5EF4-FFF2-40B4-BE49-F238E27FC236}">
              <a16:creationId xmlns:a16="http://schemas.microsoft.com/office/drawing/2014/main" id="{5F119AD8-B00E-4A30-92E3-FBD211BE16C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45" name="Text 3">
          <a:extLst>
            <a:ext uri="{FF2B5EF4-FFF2-40B4-BE49-F238E27FC236}">
              <a16:creationId xmlns:a16="http://schemas.microsoft.com/office/drawing/2014/main" id="{22C18F5A-AD04-43F2-B71A-D151E784BC7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46" name="Text 3">
          <a:extLst>
            <a:ext uri="{FF2B5EF4-FFF2-40B4-BE49-F238E27FC236}">
              <a16:creationId xmlns:a16="http://schemas.microsoft.com/office/drawing/2014/main" id="{B50EDFA1-6D42-4DF8-BB5A-1D54AA78EAB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47" name="Text 3">
          <a:extLst>
            <a:ext uri="{FF2B5EF4-FFF2-40B4-BE49-F238E27FC236}">
              <a16:creationId xmlns:a16="http://schemas.microsoft.com/office/drawing/2014/main" id="{2EFD8953-7F7F-4631-A505-08BA5653892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48" name="Text 3">
          <a:extLst>
            <a:ext uri="{FF2B5EF4-FFF2-40B4-BE49-F238E27FC236}">
              <a16:creationId xmlns:a16="http://schemas.microsoft.com/office/drawing/2014/main" id="{3D7020C5-D52B-429F-9250-43468B0D9E8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49" name="Text 3">
          <a:extLst>
            <a:ext uri="{FF2B5EF4-FFF2-40B4-BE49-F238E27FC236}">
              <a16:creationId xmlns:a16="http://schemas.microsoft.com/office/drawing/2014/main" id="{622CB23E-3965-4205-B361-DE46979CB44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50" name="Text 3">
          <a:extLst>
            <a:ext uri="{FF2B5EF4-FFF2-40B4-BE49-F238E27FC236}">
              <a16:creationId xmlns:a16="http://schemas.microsoft.com/office/drawing/2014/main" id="{D334D5AE-A276-48E7-9750-EFEA1D07BE3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51" name="Text 3">
          <a:extLst>
            <a:ext uri="{FF2B5EF4-FFF2-40B4-BE49-F238E27FC236}">
              <a16:creationId xmlns:a16="http://schemas.microsoft.com/office/drawing/2014/main" id="{93EB2959-4D9B-48F9-B686-FCA8E2C12FB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52" name="Text 3">
          <a:extLst>
            <a:ext uri="{FF2B5EF4-FFF2-40B4-BE49-F238E27FC236}">
              <a16:creationId xmlns:a16="http://schemas.microsoft.com/office/drawing/2014/main" id="{09323BC5-438A-446F-9F49-D7471034117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53" name="Text 3">
          <a:extLst>
            <a:ext uri="{FF2B5EF4-FFF2-40B4-BE49-F238E27FC236}">
              <a16:creationId xmlns:a16="http://schemas.microsoft.com/office/drawing/2014/main" id="{1F121AD4-A718-4242-8258-FD3A840B731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54" name="Text 3">
          <a:extLst>
            <a:ext uri="{FF2B5EF4-FFF2-40B4-BE49-F238E27FC236}">
              <a16:creationId xmlns:a16="http://schemas.microsoft.com/office/drawing/2014/main" id="{63D81557-46B9-4ADF-80C8-FF1411CC5A4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55" name="Text 3">
          <a:extLst>
            <a:ext uri="{FF2B5EF4-FFF2-40B4-BE49-F238E27FC236}">
              <a16:creationId xmlns:a16="http://schemas.microsoft.com/office/drawing/2014/main" id="{0E73EBB6-D451-4578-9188-5727C63EAF8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56" name="Text 3">
          <a:extLst>
            <a:ext uri="{FF2B5EF4-FFF2-40B4-BE49-F238E27FC236}">
              <a16:creationId xmlns:a16="http://schemas.microsoft.com/office/drawing/2014/main" id="{3730B24D-8006-4EE3-93BF-2CA31795BFF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57" name="Text 3">
          <a:extLst>
            <a:ext uri="{FF2B5EF4-FFF2-40B4-BE49-F238E27FC236}">
              <a16:creationId xmlns:a16="http://schemas.microsoft.com/office/drawing/2014/main" id="{BF3DB7DD-FEE1-4420-A997-3CF67E93432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58" name="Text 3">
          <a:extLst>
            <a:ext uri="{FF2B5EF4-FFF2-40B4-BE49-F238E27FC236}">
              <a16:creationId xmlns:a16="http://schemas.microsoft.com/office/drawing/2014/main" id="{0DB33CCC-89DE-4E95-BEF6-C2C04493B08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59" name="Text 3">
          <a:extLst>
            <a:ext uri="{FF2B5EF4-FFF2-40B4-BE49-F238E27FC236}">
              <a16:creationId xmlns:a16="http://schemas.microsoft.com/office/drawing/2014/main" id="{D584B856-801B-48AC-8C90-DCB7193474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60" name="Text 3">
          <a:extLst>
            <a:ext uri="{FF2B5EF4-FFF2-40B4-BE49-F238E27FC236}">
              <a16:creationId xmlns:a16="http://schemas.microsoft.com/office/drawing/2014/main" id="{A4E49149-1210-4BFC-9C8D-9B6BFDBD888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61" name="Text 3">
          <a:extLst>
            <a:ext uri="{FF2B5EF4-FFF2-40B4-BE49-F238E27FC236}">
              <a16:creationId xmlns:a16="http://schemas.microsoft.com/office/drawing/2014/main" id="{B76BBB15-51F4-4890-912C-0824D2CEF96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62" name="Text 3">
          <a:extLst>
            <a:ext uri="{FF2B5EF4-FFF2-40B4-BE49-F238E27FC236}">
              <a16:creationId xmlns:a16="http://schemas.microsoft.com/office/drawing/2014/main" id="{E607CFEB-C7EA-4A57-8BB9-1851CF8C8FE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63" name="Text 3">
          <a:extLst>
            <a:ext uri="{FF2B5EF4-FFF2-40B4-BE49-F238E27FC236}">
              <a16:creationId xmlns:a16="http://schemas.microsoft.com/office/drawing/2014/main" id="{26103574-9583-4429-8868-1E94CA19AA7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64" name="Text 3">
          <a:extLst>
            <a:ext uri="{FF2B5EF4-FFF2-40B4-BE49-F238E27FC236}">
              <a16:creationId xmlns:a16="http://schemas.microsoft.com/office/drawing/2014/main" id="{294E1794-AE83-4518-9E23-29DCB1F8DBE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65" name="Text 3">
          <a:extLst>
            <a:ext uri="{FF2B5EF4-FFF2-40B4-BE49-F238E27FC236}">
              <a16:creationId xmlns:a16="http://schemas.microsoft.com/office/drawing/2014/main" id="{B8A46851-71BD-42E6-A4A2-375DFA327D6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66" name="Text 3">
          <a:extLst>
            <a:ext uri="{FF2B5EF4-FFF2-40B4-BE49-F238E27FC236}">
              <a16:creationId xmlns:a16="http://schemas.microsoft.com/office/drawing/2014/main" id="{888B84A3-10B6-4CC9-865C-6C9575874FC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67" name="Text 3">
          <a:extLst>
            <a:ext uri="{FF2B5EF4-FFF2-40B4-BE49-F238E27FC236}">
              <a16:creationId xmlns:a16="http://schemas.microsoft.com/office/drawing/2014/main" id="{6D38DA6E-A911-4991-87DE-D7075DA246C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68" name="Text 3">
          <a:extLst>
            <a:ext uri="{FF2B5EF4-FFF2-40B4-BE49-F238E27FC236}">
              <a16:creationId xmlns:a16="http://schemas.microsoft.com/office/drawing/2014/main" id="{D10998D5-12DB-4C27-B34D-12BFA5B41F4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69" name="Text 3">
          <a:extLst>
            <a:ext uri="{FF2B5EF4-FFF2-40B4-BE49-F238E27FC236}">
              <a16:creationId xmlns:a16="http://schemas.microsoft.com/office/drawing/2014/main" id="{00F0BF7D-FE9A-485A-9D9E-874603F1E47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70" name="Text 3">
          <a:extLst>
            <a:ext uri="{FF2B5EF4-FFF2-40B4-BE49-F238E27FC236}">
              <a16:creationId xmlns:a16="http://schemas.microsoft.com/office/drawing/2014/main" id="{AFE72E03-4E43-4C4B-B345-B2E592F8796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71" name="Text 3">
          <a:extLst>
            <a:ext uri="{FF2B5EF4-FFF2-40B4-BE49-F238E27FC236}">
              <a16:creationId xmlns:a16="http://schemas.microsoft.com/office/drawing/2014/main" id="{5205EBB2-D8D3-4834-B97C-EB6B2A574F2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72" name="Text 3">
          <a:extLst>
            <a:ext uri="{FF2B5EF4-FFF2-40B4-BE49-F238E27FC236}">
              <a16:creationId xmlns:a16="http://schemas.microsoft.com/office/drawing/2014/main" id="{7172450A-6089-4695-BC3A-F768C8DC8A1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73" name="Text 3">
          <a:extLst>
            <a:ext uri="{FF2B5EF4-FFF2-40B4-BE49-F238E27FC236}">
              <a16:creationId xmlns:a16="http://schemas.microsoft.com/office/drawing/2014/main" id="{D20F096F-BC03-438F-8E2E-2AF52DA907B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74" name="Text 3">
          <a:extLst>
            <a:ext uri="{FF2B5EF4-FFF2-40B4-BE49-F238E27FC236}">
              <a16:creationId xmlns:a16="http://schemas.microsoft.com/office/drawing/2014/main" id="{26B80BDB-D116-48F5-A278-FF3736F6B62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75" name="Text 3">
          <a:extLst>
            <a:ext uri="{FF2B5EF4-FFF2-40B4-BE49-F238E27FC236}">
              <a16:creationId xmlns:a16="http://schemas.microsoft.com/office/drawing/2014/main" id="{70289C3F-6F2F-46FB-8BE2-3AD516C2BE0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76" name="Text 3">
          <a:extLst>
            <a:ext uri="{FF2B5EF4-FFF2-40B4-BE49-F238E27FC236}">
              <a16:creationId xmlns:a16="http://schemas.microsoft.com/office/drawing/2014/main" id="{CBBB88B5-6469-4792-A7AE-9472CDCD3D6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77" name="Text 3">
          <a:extLst>
            <a:ext uri="{FF2B5EF4-FFF2-40B4-BE49-F238E27FC236}">
              <a16:creationId xmlns:a16="http://schemas.microsoft.com/office/drawing/2014/main" id="{100B1111-9A94-490C-B06A-3686C7F2774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78" name="Text 3">
          <a:extLst>
            <a:ext uri="{FF2B5EF4-FFF2-40B4-BE49-F238E27FC236}">
              <a16:creationId xmlns:a16="http://schemas.microsoft.com/office/drawing/2014/main" id="{960833FA-85A5-4B77-BEE6-869484CB396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79" name="Text 3">
          <a:extLst>
            <a:ext uri="{FF2B5EF4-FFF2-40B4-BE49-F238E27FC236}">
              <a16:creationId xmlns:a16="http://schemas.microsoft.com/office/drawing/2014/main" id="{79E714B7-1004-486A-8E08-C2A2742E0EC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80" name="Text 3">
          <a:extLst>
            <a:ext uri="{FF2B5EF4-FFF2-40B4-BE49-F238E27FC236}">
              <a16:creationId xmlns:a16="http://schemas.microsoft.com/office/drawing/2014/main" id="{8B23496E-4104-471C-BDD0-A48B7522CC1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81" name="Text 3">
          <a:extLst>
            <a:ext uri="{FF2B5EF4-FFF2-40B4-BE49-F238E27FC236}">
              <a16:creationId xmlns:a16="http://schemas.microsoft.com/office/drawing/2014/main" id="{EA91E45F-E50C-4A7D-A99F-D28289AECBB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82" name="Text 3">
          <a:extLst>
            <a:ext uri="{FF2B5EF4-FFF2-40B4-BE49-F238E27FC236}">
              <a16:creationId xmlns:a16="http://schemas.microsoft.com/office/drawing/2014/main" id="{F049151D-9A78-4595-9AE8-84CC8FC8AE9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83" name="Text 3">
          <a:extLst>
            <a:ext uri="{FF2B5EF4-FFF2-40B4-BE49-F238E27FC236}">
              <a16:creationId xmlns:a16="http://schemas.microsoft.com/office/drawing/2014/main" id="{979ECF4B-1F56-4CA6-8836-3EA6E7D7DE4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84" name="Text 3">
          <a:extLst>
            <a:ext uri="{FF2B5EF4-FFF2-40B4-BE49-F238E27FC236}">
              <a16:creationId xmlns:a16="http://schemas.microsoft.com/office/drawing/2014/main" id="{C0925FEF-3789-4C73-A98A-B1BEB2E35FA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85" name="Text 3">
          <a:extLst>
            <a:ext uri="{FF2B5EF4-FFF2-40B4-BE49-F238E27FC236}">
              <a16:creationId xmlns:a16="http://schemas.microsoft.com/office/drawing/2014/main" id="{E74D95D0-1D2F-4860-8093-6A8DE2E9DDF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86" name="Text 3">
          <a:extLst>
            <a:ext uri="{FF2B5EF4-FFF2-40B4-BE49-F238E27FC236}">
              <a16:creationId xmlns:a16="http://schemas.microsoft.com/office/drawing/2014/main" id="{A9C59DF4-ADE2-46C4-835A-0DEE411ACC1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87" name="Text 3">
          <a:extLst>
            <a:ext uri="{FF2B5EF4-FFF2-40B4-BE49-F238E27FC236}">
              <a16:creationId xmlns:a16="http://schemas.microsoft.com/office/drawing/2014/main" id="{395D1872-1587-4AB7-B8AF-2F27F881DD6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88" name="Text 3">
          <a:extLst>
            <a:ext uri="{FF2B5EF4-FFF2-40B4-BE49-F238E27FC236}">
              <a16:creationId xmlns:a16="http://schemas.microsoft.com/office/drawing/2014/main" id="{0B6FA07E-40EE-41E8-ABEB-4F976E9A4FD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89" name="Text 3">
          <a:extLst>
            <a:ext uri="{FF2B5EF4-FFF2-40B4-BE49-F238E27FC236}">
              <a16:creationId xmlns:a16="http://schemas.microsoft.com/office/drawing/2014/main" id="{60F7D373-F58D-406E-BF1F-C923FD794ED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90" name="Text 3">
          <a:extLst>
            <a:ext uri="{FF2B5EF4-FFF2-40B4-BE49-F238E27FC236}">
              <a16:creationId xmlns:a16="http://schemas.microsoft.com/office/drawing/2014/main" id="{12C91CC6-DD58-4E48-94DA-65533F79AC8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91" name="Text 3">
          <a:extLst>
            <a:ext uri="{FF2B5EF4-FFF2-40B4-BE49-F238E27FC236}">
              <a16:creationId xmlns:a16="http://schemas.microsoft.com/office/drawing/2014/main" id="{07CF7553-FCF2-4BA1-B0EE-A8B1978DD95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92" name="Text 3">
          <a:extLst>
            <a:ext uri="{FF2B5EF4-FFF2-40B4-BE49-F238E27FC236}">
              <a16:creationId xmlns:a16="http://schemas.microsoft.com/office/drawing/2014/main" id="{3F77BFE9-EADA-47F7-AFC0-B0D5744A676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93" name="Text 3">
          <a:extLst>
            <a:ext uri="{FF2B5EF4-FFF2-40B4-BE49-F238E27FC236}">
              <a16:creationId xmlns:a16="http://schemas.microsoft.com/office/drawing/2014/main" id="{21C6BB86-0E01-47DF-A311-C766019E36B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94" name="Text 3">
          <a:extLst>
            <a:ext uri="{FF2B5EF4-FFF2-40B4-BE49-F238E27FC236}">
              <a16:creationId xmlns:a16="http://schemas.microsoft.com/office/drawing/2014/main" id="{5A872732-CB47-4445-BED5-18DB29EB511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95" name="Text 3">
          <a:extLst>
            <a:ext uri="{FF2B5EF4-FFF2-40B4-BE49-F238E27FC236}">
              <a16:creationId xmlns:a16="http://schemas.microsoft.com/office/drawing/2014/main" id="{3D041D53-E2DF-4129-A172-8E849A6A4C2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96" name="Text 3">
          <a:extLst>
            <a:ext uri="{FF2B5EF4-FFF2-40B4-BE49-F238E27FC236}">
              <a16:creationId xmlns:a16="http://schemas.microsoft.com/office/drawing/2014/main" id="{49C49657-DC40-4B63-9368-58FD071AB88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297" name="Text 3">
          <a:extLst>
            <a:ext uri="{FF2B5EF4-FFF2-40B4-BE49-F238E27FC236}">
              <a16:creationId xmlns:a16="http://schemas.microsoft.com/office/drawing/2014/main" id="{7493211A-C39F-4304-BAE4-FDAEB52B622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298" name="Text 3">
          <a:extLst>
            <a:ext uri="{FF2B5EF4-FFF2-40B4-BE49-F238E27FC236}">
              <a16:creationId xmlns:a16="http://schemas.microsoft.com/office/drawing/2014/main" id="{DA953E4D-C8D3-47F3-8D54-34791F262EB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299" name="Text 3">
          <a:extLst>
            <a:ext uri="{FF2B5EF4-FFF2-40B4-BE49-F238E27FC236}">
              <a16:creationId xmlns:a16="http://schemas.microsoft.com/office/drawing/2014/main" id="{838B2F79-4491-4469-85E4-A8691BCFC29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00" name="Text 3">
          <a:extLst>
            <a:ext uri="{FF2B5EF4-FFF2-40B4-BE49-F238E27FC236}">
              <a16:creationId xmlns:a16="http://schemas.microsoft.com/office/drawing/2014/main" id="{06CD4D82-CB0A-4E46-965C-35ACAEB92D4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01" name="Text 3">
          <a:extLst>
            <a:ext uri="{FF2B5EF4-FFF2-40B4-BE49-F238E27FC236}">
              <a16:creationId xmlns:a16="http://schemas.microsoft.com/office/drawing/2014/main" id="{9AB20680-5D6E-4E63-A89D-4475019528D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02" name="Text 3">
          <a:extLst>
            <a:ext uri="{FF2B5EF4-FFF2-40B4-BE49-F238E27FC236}">
              <a16:creationId xmlns:a16="http://schemas.microsoft.com/office/drawing/2014/main" id="{2965C235-BB54-4E70-900E-BEC79559976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03" name="Text 3">
          <a:extLst>
            <a:ext uri="{FF2B5EF4-FFF2-40B4-BE49-F238E27FC236}">
              <a16:creationId xmlns:a16="http://schemas.microsoft.com/office/drawing/2014/main" id="{94B5D212-1611-4DC9-9B11-F7D6B2F53A9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04" name="Text 3">
          <a:extLst>
            <a:ext uri="{FF2B5EF4-FFF2-40B4-BE49-F238E27FC236}">
              <a16:creationId xmlns:a16="http://schemas.microsoft.com/office/drawing/2014/main" id="{A45DB23F-8EF0-48FD-BC1D-240BCB18498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05" name="Text 3">
          <a:extLst>
            <a:ext uri="{FF2B5EF4-FFF2-40B4-BE49-F238E27FC236}">
              <a16:creationId xmlns:a16="http://schemas.microsoft.com/office/drawing/2014/main" id="{3819704F-FFD4-4F1E-AA9A-4E0040EC661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06" name="Text 3">
          <a:extLst>
            <a:ext uri="{FF2B5EF4-FFF2-40B4-BE49-F238E27FC236}">
              <a16:creationId xmlns:a16="http://schemas.microsoft.com/office/drawing/2014/main" id="{63AC797D-F069-4005-BCDC-7010601AEB2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07" name="Text 3">
          <a:extLst>
            <a:ext uri="{FF2B5EF4-FFF2-40B4-BE49-F238E27FC236}">
              <a16:creationId xmlns:a16="http://schemas.microsoft.com/office/drawing/2014/main" id="{D6F8C666-51AF-480E-A261-48136B63ADD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08" name="Text 3">
          <a:extLst>
            <a:ext uri="{FF2B5EF4-FFF2-40B4-BE49-F238E27FC236}">
              <a16:creationId xmlns:a16="http://schemas.microsoft.com/office/drawing/2014/main" id="{7C484DBD-5565-4E98-9399-1812155A2BD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09" name="Text 3">
          <a:extLst>
            <a:ext uri="{FF2B5EF4-FFF2-40B4-BE49-F238E27FC236}">
              <a16:creationId xmlns:a16="http://schemas.microsoft.com/office/drawing/2014/main" id="{C4C476D0-BA26-4836-9081-EE0AB7C9326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10" name="Text 3">
          <a:extLst>
            <a:ext uri="{FF2B5EF4-FFF2-40B4-BE49-F238E27FC236}">
              <a16:creationId xmlns:a16="http://schemas.microsoft.com/office/drawing/2014/main" id="{05FD440C-F236-4A5C-A2AA-345B7F8752F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11" name="Text 3">
          <a:extLst>
            <a:ext uri="{FF2B5EF4-FFF2-40B4-BE49-F238E27FC236}">
              <a16:creationId xmlns:a16="http://schemas.microsoft.com/office/drawing/2014/main" id="{A80D94B4-2301-4F09-BEFF-08936E84A78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12" name="Text 3">
          <a:extLst>
            <a:ext uri="{FF2B5EF4-FFF2-40B4-BE49-F238E27FC236}">
              <a16:creationId xmlns:a16="http://schemas.microsoft.com/office/drawing/2014/main" id="{0C650C3B-3A9C-4CC9-95EF-D8EA8C007E2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13" name="Text 3">
          <a:extLst>
            <a:ext uri="{FF2B5EF4-FFF2-40B4-BE49-F238E27FC236}">
              <a16:creationId xmlns:a16="http://schemas.microsoft.com/office/drawing/2014/main" id="{ACFCF386-2763-4ED7-AF69-1CD18193A33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14" name="Text 3">
          <a:extLst>
            <a:ext uri="{FF2B5EF4-FFF2-40B4-BE49-F238E27FC236}">
              <a16:creationId xmlns:a16="http://schemas.microsoft.com/office/drawing/2014/main" id="{265B6C1D-6141-448C-A27C-B01DB545F9D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15" name="Text 3">
          <a:extLst>
            <a:ext uri="{FF2B5EF4-FFF2-40B4-BE49-F238E27FC236}">
              <a16:creationId xmlns:a16="http://schemas.microsoft.com/office/drawing/2014/main" id="{CAC55E13-8C36-428C-A973-03C9D33B1FE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16" name="Text 3">
          <a:extLst>
            <a:ext uri="{FF2B5EF4-FFF2-40B4-BE49-F238E27FC236}">
              <a16:creationId xmlns:a16="http://schemas.microsoft.com/office/drawing/2014/main" id="{46876306-2220-4B30-B2E1-7F96EEDC222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17" name="Text 3">
          <a:extLst>
            <a:ext uri="{FF2B5EF4-FFF2-40B4-BE49-F238E27FC236}">
              <a16:creationId xmlns:a16="http://schemas.microsoft.com/office/drawing/2014/main" id="{04CFBB48-3A9E-4D2D-9D25-B2D185D8072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18" name="Text 3">
          <a:extLst>
            <a:ext uri="{FF2B5EF4-FFF2-40B4-BE49-F238E27FC236}">
              <a16:creationId xmlns:a16="http://schemas.microsoft.com/office/drawing/2014/main" id="{90E2D06F-405D-4793-8ECC-804FDF639AD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19" name="Text 3">
          <a:extLst>
            <a:ext uri="{FF2B5EF4-FFF2-40B4-BE49-F238E27FC236}">
              <a16:creationId xmlns:a16="http://schemas.microsoft.com/office/drawing/2014/main" id="{425C68DF-B6CC-4D75-AA06-43FD513221BD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20" name="Text 3">
          <a:extLst>
            <a:ext uri="{FF2B5EF4-FFF2-40B4-BE49-F238E27FC236}">
              <a16:creationId xmlns:a16="http://schemas.microsoft.com/office/drawing/2014/main" id="{5EB5FA7F-6B82-4EA6-98AA-EB3D0F1D9B5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21" name="Text 3">
          <a:extLst>
            <a:ext uri="{FF2B5EF4-FFF2-40B4-BE49-F238E27FC236}">
              <a16:creationId xmlns:a16="http://schemas.microsoft.com/office/drawing/2014/main" id="{502ECA2A-701D-4AA2-85C0-057CC25D8EE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22" name="Text 3">
          <a:extLst>
            <a:ext uri="{FF2B5EF4-FFF2-40B4-BE49-F238E27FC236}">
              <a16:creationId xmlns:a16="http://schemas.microsoft.com/office/drawing/2014/main" id="{D382915B-8DA5-4B6C-B1DE-71B13FA61A0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23" name="Text 3">
          <a:extLst>
            <a:ext uri="{FF2B5EF4-FFF2-40B4-BE49-F238E27FC236}">
              <a16:creationId xmlns:a16="http://schemas.microsoft.com/office/drawing/2014/main" id="{407E03E5-659E-41DF-9948-F48B7D23E8F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24" name="Text 3">
          <a:extLst>
            <a:ext uri="{FF2B5EF4-FFF2-40B4-BE49-F238E27FC236}">
              <a16:creationId xmlns:a16="http://schemas.microsoft.com/office/drawing/2014/main" id="{69D3158A-ED99-472E-84DA-3D9BE809B7B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25" name="Text 3">
          <a:extLst>
            <a:ext uri="{FF2B5EF4-FFF2-40B4-BE49-F238E27FC236}">
              <a16:creationId xmlns:a16="http://schemas.microsoft.com/office/drawing/2014/main" id="{2839C1FA-B486-47B8-B5FC-E9863F57A67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26" name="Text 3">
          <a:extLst>
            <a:ext uri="{FF2B5EF4-FFF2-40B4-BE49-F238E27FC236}">
              <a16:creationId xmlns:a16="http://schemas.microsoft.com/office/drawing/2014/main" id="{B56E8F3F-C5CA-4153-ADE8-E705884D8F6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27" name="Text 3">
          <a:extLst>
            <a:ext uri="{FF2B5EF4-FFF2-40B4-BE49-F238E27FC236}">
              <a16:creationId xmlns:a16="http://schemas.microsoft.com/office/drawing/2014/main" id="{CC0CF3D6-46B8-4D0F-9A0C-78C8D50DD2E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28" name="Text 3">
          <a:extLst>
            <a:ext uri="{FF2B5EF4-FFF2-40B4-BE49-F238E27FC236}">
              <a16:creationId xmlns:a16="http://schemas.microsoft.com/office/drawing/2014/main" id="{50F1002E-126F-4C62-B447-E9B7AD1F303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29" name="Text 3">
          <a:extLst>
            <a:ext uri="{FF2B5EF4-FFF2-40B4-BE49-F238E27FC236}">
              <a16:creationId xmlns:a16="http://schemas.microsoft.com/office/drawing/2014/main" id="{86D4369F-0284-4A38-8913-B0017693456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30" name="Text 3">
          <a:extLst>
            <a:ext uri="{FF2B5EF4-FFF2-40B4-BE49-F238E27FC236}">
              <a16:creationId xmlns:a16="http://schemas.microsoft.com/office/drawing/2014/main" id="{3D4B2299-1A55-4DD6-9C13-14E18D01D60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31" name="Text 3">
          <a:extLst>
            <a:ext uri="{FF2B5EF4-FFF2-40B4-BE49-F238E27FC236}">
              <a16:creationId xmlns:a16="http://schemas.microsoft.com/office/drawing/2014/main" id="{ED8A35A8-C03B-40AC-9E3D-9524CFAE89A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32" name="Text 3">
          <a:extLst>
            <a:ext uri="{FF2B5EF4-FFF2-40B4-BE49-F238E27FC236}">
              <a16:creationId xmlns:a16="http://schemas.microsoft.com/office/drawing/2014/main" id="{C42D5051-EFDD-4980-9656-802685BF306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33" name="Text 3">
          <a:extLst>
            <a:ext uri="{FF2B5EF4-FFF2-40B4-BE49-F238E27FC236}">
              <a16:creationId xmlns:a16="http://schemas.microsoft.com/office/drawing/2014/main" id="{B1191E03-EC6D-4165-8A51-57F751C1558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34" name="Text 3">
          <a:extLst>
            <a:ext uri="{FF2B5EF4-FFF2-40B4-BE49-F238E27FC236}">
              <a16:creationId xmlns:a16="http://schemas.microsoft.com/office/drawing/2014/main" id="{86E12694-46C6-4BE4-A733-69E75849078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35" name="Text 3">
          <a:extLst>
            <a:ext uri="{FF2B5EF4-FFF2-40B4-BE49-F238E27FC236}">
              <a16:creationId xmlns:a16="http://schemas.microsoft.com/office/drawing/2014/main" id="{D6CB180F-1DCA-40B0-80FB-D2DA7AC8790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36" name="Text 3">
          <a:extLst>
            <a:ext uri="{FF2B5EF4-FFF2-40B4-BE49-F238E27FC236}">
              <a16:creationId xmlns:a16="http://schemas.microsoft.com/office/drawing/2014/main" id="{E546DA4D-CA63-4F65-9A36-2E2672ED038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37" name="Text 3">
          <a:extLst>
            <a:ext uri="{FF2B5EF4-FFF2-40B4-BE49-F238E27FC236}">
              <a16:creationId xmlns:a16="http://schemas.microsoft.com/office/drawing/2014/main" id="{1C227FC6-818B-42EA-B216-B66EF920E84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38" name="Text 3">
          <a:extLst>
            <a:ext uri="{FF2B5EF4-FFF2-40B4-BE49-F238E27FC236}">
              <a16:creationId xmlns:a16="http://schemas.microsoft.com/office/drawing/2014/main" id="{6ED6728C-B1D8-4AEF-B94F-6D5FAB4ECFB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39" name="Text 3">
          <a:extLst>
            <a:ext uri="{FF2B5EF4-FFF2-40B4-BE49-F238E27FC236}">
              <a16:creationId xmlns:a16="http://schemas.microsoft.com/office/drawing/2014/main" id="{A8E19147-AA54-41C2-BA7C-3BC79D104FB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40" name="Text 3">
          <a:extLst>
            <a:ext uri="{FF2B5EF4-FFF2-40B4-BE49-F238E27FC236}">
              <a16:creationId xmlns:a16="http://schemas.microsoft.com/office/drawing/2014/main" id="{B57B0832-D530-4F31-B5AF-888443DBF66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41" name="Text 3">
          <a:extLst>
            <a:ext uri="{FF2B5EF4-FFF2-40B4-BE49-F238E27FC236}">
              <a16:creationId xmlns:a16="http://schemas.microsoft.com/office/drawing/2014/main" id="{006228B3-B7C8-4D72-BBD5-AF47EFE23FB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42" name="Text 3">
          <a:extLst>
            <a:ext uri="{FF2B5EF4-FFF2-40B4-BE49-F238E27FC236}">
              <a16:creationId xmlns:a16="http://schemas.microsoft.com/office/drawing/2014/main" id="{927635D9-B92A-4A90-8DDD-5480F31BC257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43" name="Text 3">
          <a:extLst>
            <a:ext uri="{FF2B5EF4-FFF2-40B4-BE49-F238E27FC236}">
              <a16:creationId xmlns:a16="http://schemas.microsoft.com/office/drawing/2014/main" id="{D10FBC5A-C24B-4752-B3D3-12F8B780B61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44" name="Text 3">
          <a:extLst>
            <a:ext uri="{FF2B5EF4-FFF2-40B4-BE49-F238E27FC236}">
              <a16:creationId xmlns:a16="http://schemas.microsoft.com/office/drawing/2014/main" id="{207015BD-C003-4FB2-9122-E1F7DED37B4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45" name="Text 3">
          <a:extLst>
            <a:ext uri="{FF2B5EF4-FFF2-40B4-BE49-F238E27FC236}">
              <a16:creationId xmlns:a16="http://schemas.microsoft.com/office/drawing/2014/main" id="{68C2A765-56C5-47CE-B3D3-0BCF7AF0D7B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46" name="Text 3">
          <a:extLst>
            <a:ext uri="{FF2B5EF4-FFF2-40B4-BE49-F238E27FC236}">
              <a16:creationId xmlns:a16="http://schemas.microsoft.com/office/drawing/2014/main" id="{8568219E-9E07-477B-B225-A6AD4F52789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47" name="Text 3">
          <a:extLst>
            <a:ext uri="{FF2B5EF4-FFF2-40B4-BE49-F238E27FC236}">
              <a16:creationId xmlns:a16="http://schemas.microsoft.com/office/drawing/2014/main" id="{7DC5C7D9-1471-4285-8786-5A33990E2A9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48" name="Text 3">
          <a:extLst>
            <a:ext uri="{FF2B5EF4-FFF2-40B4-BE49-F238E27FC236}">
              <a16:creationId xmlns:a16="http://schemas.microsoft.com/office/drawing/2014/main" id="{18A59DD7-38F8-4D99-83A8-0330A855B6A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49" name="Text 3">
          <a:extLst>
            <a:ext uri="{FF2B5EF4-FFF2-40B4-BE49-F238E27FC236}">
              <a16:creationId xmlns:a16="http://schemas.microsoft.com/office/drawing/2014/main" id="{1EA6F390-C33F-453F-B106-3FA5EEF56F1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50" name="Text 3">
          <a:extLst>
            <a:ext uri="{FF2B5EF4-FFF2-40B4-BE49-F238E27FC236}">
              <a16:creationId xmlns:a16="http://schemas.microsoft.com/office/drawing/2014/main" id="{35D7403A-A2A2-4060-9397-1B5068BA1AC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51" name="Text 3">
          <a:extLst>
            <a:ext uri="{FF2B5EF4-FFF2-40B4-BE49-F238E27FC236}">
              <a16:creationId xmlns:a16="http://schemas.microsoft.com/office/drawing/2014/main" id="{2BFFBFB8-285F-4094-9FA1-72410FFB872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52" name="Text 3">
          <a:extLst>
            <a:ext uri="{FF2B5EF4-FFF2-40B4-BE49-F238E27FC236}">
              <a16:creationId xmlns:a16="http://schemas.microsoft.com/office/drawing/2014/main" id="{D74A4B0E-77FA-45B5-AAFD-964BAC97815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53" name="Text 3">
          <a:extLst>
            <a:ext uri="{FF2B5EF4-FFF2-40B4-BE49-F238E27FC236}">
              <a16:creationId xmlns:a16="http://schemas.microsoft.com/office/drawing/2014/main" id="{3F95BE99-4888-4249-944B-61D560E46A2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54" name="Text 3">
          <a:extLst>
            <a:ext uri="{FF2B5EF4-FFF2-40B4-BE49-F238E27FC236}">
              <a16:creationId xmlns:a16="http://schemas.microsoft.com/office/drawing/2014/main" id="{4FD730DA-0055-401B-B7BC-FC219FEDC93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55" name="Text 3">
          <a:extLst>
            <a:ext uri="{FF2B5EF4-FFF2-40B4-BE49-F238E27FC236}">
              <a16:creationId xmlns:a16="http://schemas.microsoft.com/office/drawing/2014/main" id="{F8AD4A97-3527-43BB-AC87-58345653C69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56" name="Text 3">
          <a:extLst>
            <a:ext uri="{FF2B5EF4-FFF2-40B4-BE49-F238E27FC236}">
              <a16:creationId xmlns:a16="http://schemas.microsoft.com/office/drawing/2014/main" id="{B076F948-1C01-48F5-A9CC-DEF082887A5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57" name="Text 3">
          <a:extLst>
            <a:ext uri="{FF2B5EF4-FFF2-40B4-BE49-F238E27FC236}">
              <a16:creationId xmlns:a16="http://schemas.microsoft.com/office/drawing/2014/main" id="{2F38C217-B23D-47F3-9352-545CA50C30E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58" name="Text 3">
          <a:extLst>
            <a:ext uri="{FF2B5EF4-FFF2-40B4-BE49-F238E27FC236}">
              <a16:creationId xmlns:a16="http://schemas.microsoft.com/office/drawing/2014/main" id="{A019AA71-BCEB-4D93-90EB-6BBFD413124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59" name="Text 3">
          <a:extLst>
            <a:ext uri="{FF2B5EF4-FFF2-40B4-BE49-F238E27FC236}">
              <a16:creationId xmlns:a16="http://schemas.microsoft.com/office/drawing/2014/main" id="{1579C28E-AF93-4662-BB86-F25E7F893EF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60" name="Text 3">
          <a:extLst>
            <a:ext uri="{FF2B5EF4-FFF2-40B4-BE49-F238E27FC236}">
              <a16:creationId xmlns:a16="http://schemas.microsoft.com/office/drawing/2014/main" id="{3A0B4A51-80F9-469F-8096-BA2F9B327EB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61" name="Text 3">
          <a:extLst>
            <a:ext uri="{FF2B5EF4-FFF2-40B4-BE49-F238E27FC236}">
              <a16:creationId xmlns:a16="http://schemas.microsoft.com/office/drawing/2014/main" id="{78CADBFD-AAE1-425B-A9BF-6C5A88338E3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62" name="Text 3">
          <a:extLst>
            <a:ext uri="{FF2B5EF4-FFF2-40B4-BE49-F238E27FC236}">
              <a16:creationId xmlns:a16="http://schemas.microsoft.com/office/drawing/2014/main" id="{6B9EC1C2-00FC-453F-9E9F-B5454652CD6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63" name="Text 3">
          <a:extLst>
            <a:ext uri="{FF2B5EF4-FFF2-40B4-BE49-F238E27FC236}">
              <a16:creationId xmlns:a16="http://schemas.microsoft.com/office/drawing/2014/main" id="{5C3F2C2C-6594-4E97-98C4-444C27E28EF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64" name="Text 3">
          <a:extLst>
            <a:ext uri="{FF2B5EF4-FFF2-40B4-BE49-F238E27FC236}">
              <a16:creationId xmlns:a16="http://schemas.microsoft.com/office/drawing/2014/main" id="{A184B2E4-5BB4-45A3-9D01-347C265DF69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65" name="Text 3">
          <a:extLst>
            <a:ext uri="{FF2B5EF4-FFF2-40B4-BE49-F238E27FC236}">
              <a16:creationId xmlns:a16="http://schemas.microsoft.com/office/drawing/2014/main" id="{EEA1CA14-A829-4063-8340-7732FB4B27D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66" name="Text 3">
          <a:extLst>
            <a:ext uri="{FF2B5EF4-FFF2-40B4-BE49-F238E27FC236}">
              <a16:creationId xmlns:a16="http://schemas.microsoft.com/office/drawing/2014/main" id="{06F919CF-A553-4DB1-8E48-D680ED29DD2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67" name="Text 3">
          <a:extLst>
            <a:ext uri="{FF2B5EF4-FFF2-40B4-BE49-F238E27FC236}">
              <a16:creationId xmlns:a16="http://schemas.microsoft.com/office/drawing/2014/main" id="{357A212F-C9ED-45A8-9391-93AA1852D07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68" name="Text 3">
          <a:extLst>
            <a:ext uri="{FF2B5EF4-FFF2-40B4-BE49-F238E27FC236}">
              <a16:creationId xmlns:a16="http://schemas.microsoft.com/office/drawing/2014/main" id="{6D4F4CF4-D27C-4917-9005-D31AB00858D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69" name="Text 3">
          <a:extLst>
            <a:ext uri="{FF2B5EF4-FFF2-40B4-BE49-F238E27FC236}">
              <a16:creationId xmlns:a16="http://schemas.microsoft.com/office/drawing/2014/main" id="{81559D03-F64C-4629-B4AF-522759FB47E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70" name="Text 3">
          <a:extLst>
            <a:ext uri="{FF2B5EF4-FFF2-40B4-BE49-F238E27FC236}">
              <a16:creationId xmlns:a16="http://schemas.microsoft.com/office/drawing/2014/main" id="{092F5A30-2BE1-427F-BDB0-6A248E78535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71" name="Text 3">
          <a:extLst>
            <a:ext uri="{FF2B5EF4-FFF2-40B4-BE49-F238E27FC236}">
              <a16:creationId xmlns:a16="http://schemas.microsoft.com/office/drawing/2014/main" id="{E85C5232-AFBB-41BE-9A9D-00EA21F8359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72" name="Text 3">
          <a:extLst>
            <a:ext uri="{FF2B5EF4-FFF2-40B4-BE49-F238E27FC236}">
              <a16:creationId xmlns:a16="http://schemas.microsoft.com/office/drawing/2014/main" id="{5862C293-6AA0-4047-B403-57604BC12D8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73" name="Text 3">
          <a:extLst>
            <a:ext uri="{FF2B5EF4-FFF2-40B4-BE49-F238E27FC236}">
              <a16:creationId xmlns:a16="http://schemas.microsoft.com/office/drawing/2014/main" id="{34A888A1-31C1-4B0A-B8E9-57D0DB7ED36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74" name="Text 3">
          <a:extLst>
            <a:ext uri="{FF2B5EF4-FFF2-40B4-BE49-F238E27FC236}">
              <a16:creationId xmlns:a16="http://schemas.microsoft.com/office/drawing/2014/main" id="{C803A61B-294F-4052-9EC7-1C4CAFE1B94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75" name="Text 3">
          <a:extLst>
            <a:ext uri="{FF2B5EF4-FFF2-40B4-BE49-F238E27FC236}">
              <a16:creationId xmlns:a16="http://schemas.microsoft.com/office/drawing/2014/main" id="{F63246F2-535E-44A2-8C3A-8A659B519DD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76" name="Text 3">
          <a:extLst>
            <a:ext uri="{FF2B5EF4-FFF2-40B4-BE49-F238E27FC236}">
              <a16:creationId xmlns:a16="http://schemas.microsoft.com/office/drawing/2014/main" id="{58D0B951-A64C-4F0C-91ED-AEEC220124A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77" name="Text 3">
          <a:extLst>
            <a:ext uri="{FF2B5EF4-FFF2-40B4-BE49-F238E27FC236}">
              <a16:creationId xmlns:a16="http://schemas.microsoft.com/office/drawing/2014/main" id="{3C694054-87CE-474F-8074-F9F51CBF710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78" name="Text 3">
          <a:extLst>
            <a:ext uri="{FF2B5EF4-FFF2-40B4-BE49-F238E27FC236}">
              <a16:creationId xmlns:a16="http://schemas.microsoft.com/office/drawing/2014/main" id="{703E3E52-0F7A-4FEC-897F-B008A74A9E5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79" name="Text 3">
          <a:extLst>
            <a:ext uri="{FF2B5EF4-FFF2-40B4-BE49-F238E27FC236}">
              <a16:creationId xmlns:a16="http://schemas.microsoft.com/office/drawing/2014/main" id="{DE72940E-84A7-4A9B-BA0D-C9B36C8C5D7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80" name="Text 3">
          <a:extLst>
            <a:ext uri="{FF2B5EF4-FFF2-40B4-BE49-F238E27FC236}">
              <a16:creationId xmlns:a16="http://schemas.microsoft.com/office/drawing/2014/main" id="{FED9081D-F4FD-4ED0-938A-9F30FB1BF87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81" name="Text 3">
          <a:extLst>
            <a:ext uri="{FF2B5EF4-FFF2-40B4-BE49-F238E27FC236}">
              <a16:creationId xmlns:a16="http://schemas.microsoft.com/office/drawing/2014/main" id="{5779FAF8-52D1-4C19-954C-26CFEBFF48D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82" name="Text 3">
          <a:extLst>
            <a:ext uri="{FF2B5EF4-FFF2-40B4-BE49-F238E27FC236}">
              <a16:creationId xmlns:a16="http://schemas.microsoft.com/office/drawing/2014/main" id="{DE337747-4BB9-44E7-A5E3-B87F0BFAB74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83" name="Text 3">
          <a:extLst>
            <a:ext uri="{FF2B5EF4-FFF2-40B4-BE49-F238E27FC236}">
              <a16:creationId xmlns:a16="http://schemas.microsoft.com/office/drawing/2014/main" id="{3F3E8FF4-E697-4947-8CA6-390198DD872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84" name="Text 3">
          <a:extLst>
            <a:ext uri="{FF2B5EF4-FFF2-40B4-BE49-F238E27FC236}">
              <a16:creationId xmlns:a16="http://schemas.microsoft.com/office/drawing/2014/main" id="{9E4A7171-0F9E-412E-82AB-69874CD2187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85" name="Text 3">
          <a:extLst>
            <a:ext uri="{FF2B5EF4-FFF2-40B4-BE49-F238E27FC236}">
              <a16:creationId xmlns:a16="http://schemas.microsoft.com/office/drawing/2014/main" id="{0523ECF3-D59E-4BE7-AC23-BD797ED1620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86" name="Text 3">
          <a:extLst>
            <a:ext uri="{FF2B5EF4-FFF2-40B4-BE49-F238E27FC236}">
              <a16:creationId xmlns:a16="http://schemas.microsoft.com/office/drawing/2014/main" id="{03400CDF-A607-4FE8-874B-F41B7C60D47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87" name="Text 3">
          <a:extLst>
            <a:ext uri="{FF2B5EF4-FFF2-40B4-BE49-F238E27FC236}">
              <a16:creationId xmlns:a16="http://schemas.microsoft.com/office/drawing/2014/main" id="{99E957DC-DA81-4088-A469-6263E24C101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88" name="Text 3">
          <a:extLst>
            <a:ext uri="{FF2B5EF4-FFF2-40B4-BE49-F238E27FC236}">
              <a16:creationId xmlns:a16="http://schemas.microsoft.com/office/drawing/2014/main" id="{F6DD52CE-CD50-4BA5-A65E-930F5C93403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89" name="Text 3">
          <a:extLst>
            <a:ext uri="{FF2B5EF4-FFF2-40B4-BE49-F238E27FC236}">
              <a16:creationId xmlns:a16="http://schemas.microsoft.com/office/drawing/2014/main" id="{10073BC0-98EC-4B7B-A3F2-0AAB81BC03D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90" name="Text 3">
          <a:extLst>
            <a:ext uri="{FF2B5EF4-FFF2-40B4-BE49-F238E27FC236}">
              <a16:creationId xmlns:a16="http://schemas.microsoft.com/office/drawing/2014/main" id="{F0903471-8595-4048-969F-F09D93706E7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91" name="Text 3">
          <a:extLst>
            <a:ext uri="{FF2B5EF4-FFF2-40B4-BE49-F238E27FC236}">
              <a16:creationId xmlns:a16="http://schemas.microsoft.com/office/drawing/2014/main" id="{A9A97AA9-9078-4E2F-9A89-9E9CA4BF188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92" name="Text 3">
          <a:extLst>
            <a:ext uri="{FF2B5EF4-FFF2-40B4-BE49-F238E27FC236}">
              <a16:creationId xmlns:a16="http://schemas.microsoft.com/office/drawing/2014/main" id="{007F9A91-6B04-4098-83E4-9629053C73C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93" name="Text 3">
          <a:extLst>
            <a:ext uri="{FF2B5EF4-FFF2-40B4-BE49-F238E27FC236}">
              <a16:creationId xmlns:a16="http://schemas.microsoft.com/office/drawing/2014/main" id="{EB8C615B-60FB-4F8E-BCCE-86D441AAE75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94" name="Text 3">
          <a:extLst>
            <a:ext uri="{FF2B5EF4-FFF2-40B4-BE49-F238E27FC236}">
              <a16:creationId xmlns:a16="http://schemas.microsoft.com/office/drawing/2014/main" id="{464F29A7-F41B-4F49-AE78-8F8489D32FD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95" name="Text 3">
          <a:extLst>
            <a:ext uri="{FF2B5EF4-FFF2-40B4-BE49-F238E27FC236}">
              <a16:creationId xmlns:a16="http://schemas.microsoft.com/office/drawing/2014/main" id="{DFC94570-F9C5-4C0B-978A-7682DBB8B29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96" name="Text 3">
          <a:extLst>
            <a:ext uri="{FF2B5EF4-FFF2-40B4-BE49-F238E27FC236}">
              <a16:creationId xmlns:a16="http://schemas.microsoft.com/office/drawing/2014/main" id="{B230E76C-87DC-4CD4-804A-95E40BA8750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397" name="Text 3">
          <a:extLst>
            <a:ext uri="{FF2B5EF4-FFF2-40B4-BE49-F238E27FC236}">
              <a16:creationId xmlns:a16="http://schemas.microsoft.com/office/drawing/2014/main" id="{C3DD905D-3454-4F61-9F93-83CB06CBAD6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398" name="Text 3">
          <a:extLst>
            <a:ext uri="{FF2B5EF4-FFF2-40B4-BE49-F238E27FC236}">
              <a16:creationId xmlns:a16="http://schemas.microsoft.com/office/drawing/2014/main" id="{0D303F93-3377-4B3A-82BF-7747C558465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399" name="Text 3">
          <a:extLst>
            <a:ext uri="{FF2B5EF4-FFF2-40B4-BE49-F238E27FC236}">
              <a16:creationId xmlns:a16="http://schemas.microsoft.com/office/drawing/2014/main" id="{BC138A18-F55C-4F47-9DF7-1944969C160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00" name="Text 3">
          <a:extLst>
            <a:ext uri="{FF2B5EF4-FFF2-40B4-BE49-F238E27FC236}">
              <a16:creationId xmlns:a16="http://schemas.microsoft.com/office/drawing/2014/main" id="{BAC9C554-5328-4993-844F-9196318743B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01" name="Text 3">
          <a:extLst>
            <a:ext uri="{FF2B5EF4-FFF2-40B4-BE49-F238E27FC236}">
              <a16:creationId xmlns:a16="http://schemas.microsoft.com/office/drawing/2014/main" id="{3869D554-6AE6-4B88-9467-C572C4EDC7F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02" name="Text 3">
          <a:extLst>
            <a:ext uri="{FF2B5EF4-FFF2-40B4-BE49-F238E27FC236}">
              <a16:creationId xmlns:a16="http://schemas.microsoft.com/office/drawing/2014/main" id="{DE0A8487-549D-404E-B047-B288641F90B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03" name="Text 3">
          <a:extLst>
            <a:ext uri="{FF2B5EF4-FFF2-40B4-BE49-F238E27FC236}">
              <a16:creationId xmlns:a16="http://schemas.microsoft.com/office/drawing/2014/main" id="{52FE0542-D83B-4ACF-A1DC-A108A7CD069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04" name="Text 3">
          <a:extLst>
            <a:ext uri="{FF2B5EF4-FFF2-40B4-BE49-F238E27FC236}">
              <a16:creationId xmlns:a16="http://schemas.microsoft.com/office/drawing/2014/main" id="{99C40190-5E3E-41E7-A473-B8A1A2F8320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05" name="Text 3">
          <a:extLst>
            <a:ext uri="{FF2B5EF4-FFF2-40B4-BE49-F238E27FC236}">
              <a16:creationId xmlns:a16="http://schemas.microsoft.com/office/drawing/2014/main" id="{95A7CC7D-A631-4CDE-AFA4-C023DA51B84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06" name="Text 3">
          <a:extLst>
            <a:ext uri="{FF2B5EF4-FFF2-40B4-BE49-F238E27FC236}">
              <a16:creationId xmlns:a16="http://schemas.microsoft.com/office/drawing/2014/main" id="{547BAAF1-D8EF-46F0-9A6C-49913AAFD59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07" name="Text 3">
          <a:extLst>
            <a:ext uri="{FF2B5EF4-FFF2-40B4-BE49-F238E27FC236}">
              <a16:creationId xmlns:a16="http://schemas.microsoft.com/office/drawing/2014/main" id="{155CDCE0-AAF2-42C5-9857-CF3DED9E93C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08" name="Text 3">
          <a:extLst>
            <a:ext uri="{FF2B5EF4-FFF2-40B4-BE49-F238E27FC236}">
              <a16:creationId xmlns:a16="http://schemas.microsoft.com/office/drawing/2014/main" id="{B3777005-63C4-404C-BBB8-0780307D742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09" name="Text 3">
          <a:extLst>
            <a:ext uri="{FF2B5EF4-FFF2-40B4-BE49-F238E27FC236}">
              <a16:creationId xmlns:a16="http://schemas.microsoft.com/office/drawing/2014/main" id="{23A5BF65-8E04-439B-84EF-7A3BD7C70BC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10" name="Text 3">
          <a:extLst>
            <a:ext uri="{FF2B5EF4-FFF2-40B4-BE49-F238E27FC236}">
              <a16:creationId xmlns:a16="http://schemas.microsoft.com/office/drawing/2014/main" id="{9D555C7A-2605-4DCB-8005-D9BDA0BA6446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11" name="Text 3">
          <a:extLst>
            <a:ext uri="{FF2B5EF4-FFF2-40B4-BE49-F238E27FC236}">
              <a16:creationId xmlns:a16="http://schemas.microsoft.com/office/drawing/2014/main" id="{5CBA05EB-D103-4387-AD86-4FD6AAAFBB5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12" name="Text 3">
          <a:extLst>
            <a:ext uri="{FF2B5EF4-FFF2-40B4-BE49-F238E27FC236}">
              <a16:creationId xmlns:a16="http://schemas.microsoft.com/office/drawing/2014/main" id="{1A1A985A-843E-4149-9849-0C87CF4F95B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13" name="Text 3">
          <a:extLst>
            <a:ext uri="{FF2B5EF4-FFF2-40B4-BE49-F238E27FC236}">
              <a16:creationId xmlns:a16="http://schemas.microsoft.com/office/drawing/2014/main" id="{165ABD28-E3DA-40A7-8B3F-3780FBBD30F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14" name="Text 3">
          <a:extLst>
            <a:ext uri="{FF2B5EF4-FFF2-40B4-BE49-F238E27FC236}">
              <a16:creationId xmlns:a16="http://schemas.microsoft.com/office/drawing/2014/main" id="{F9D29CD1-1FF5-4B91-ACC5-3E33A90E63A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15" name="Text 3">
          <a:extLst>
            <a:ext uri="{FF2B5EF4-FFF2-40B4-BE49-F238E27FC236}">
              <a16:creationId xmlns:a16="http://schemas.microsoft.com/office/drawing/2014/main" id="{52D39C3A-BCEB-4CF1-BFCD-33A39D61A05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16" name="Text 3">
          <a:extLst>
            <a:ext uri="{FF2B5EF4-FFF2-40B4-BE49-F238E27FC236}">
              <a16:creationId xmlns:a16="http://schemas.microsoft.com/office/drawing/2014/main" id="{A18E5A19-2743-480F-8C44-D3D0BEDF89A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17" name="Text 3">
          <a:extLst>
            <a:ext uri="{FF2B5EF4-FFF2-40B4-BE49-F238E27FC236}">
              <a16:creationId xmlns:a16="http://schemas.microsoft.com/office/drawing/2014/main" id="{266ED87D-1E17-4707-8630-DC9C9E4D25A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18" name="Text 3">
          <a:extLst>
            <a:ext uri="{FF2B5EF4-FFF2-40B4-BE49-F238E27FC236}">
              <a16:creationId xmlns:a16="http://schemas.microsoft.com/office/drawing/2014/main" id="{29CDFAB7-7AF6-421A-BF2F-F3113DBAA1C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19" name="Text 3">
          <a:extLst>
            <a:ext uri="{FF2B5EF4-FFF2-40B4-BE49-F238E27FC236}">
              <a16:creationId xmlns:a16="http://schemas.microsoft.com/office/drawing/2014/main" id="{2B587A37-4AA8-4782-A716-9FB9FAC651E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20" name="Text 3">
          <a:extLst>
            <a:ext uri="{FF2B5EF4-FFF2-40B4-BE49-F238E27FC236}">
              <a16:creationId xmlns:a16="http://schemas.microsoft.com/office/drawing/2014/main" id="{90E3C043-3420-40B4-A687-289106B5627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21" name="Text 3">
          <a:extLst>
            <a:ext uri="{FF2B5EF4-FFF2-40B4-BE49-F238E27FC236}">
              <a16:creationId xmlns:a16="http://schemas.microsoft.com/office/drawing/2014/main" id="{58BCD052-75F7-4E25-BE0D-5440E14FCC9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22" name="Text 3">
          <a:extLst>
            <a:ext uri="{FF2B5EF4-FFF2-40B4-BE49-F238E27FC236}">
              <a16:creationId xmlns:a16="http://schemas.microsoft.com/office/drawing/2014/main" id="{2A77ACF9-29B0-425B-8F9F-EAED75D461A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23" name="Text 3">
          <a:extLst>
            <a:ext uri="{FF2B5EF4-FFF2-40B4-BE49-F238E27FC236}">
              <a16:creationId xmlns:a16="http://schemas.microsoft.com/office/drawing/2014/main" id="{15B6DA07-2A50-4597-86CC-764B3642492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24" name="Text 3">
          <a:extLst>
            <a:ext uri="{FF2B5EF4-FFF2-40B4-BE49-F238E27FC236}">
              <a16:creationId xmlns:a16="http://schemas.microsoft.com/office/drawing/2014/main" id="{545F76C8-F3ED-4DAA-BC0C-F336894E671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25" name="Text 3">
          <a:extLst>
            <a:ext uri="{FF2B5EF4-FFF2-40B4-BE49-F238E27FC236}">
              <a16:creationId xmlns:a16="http://schemas.microsoft.com/office/drawing/2014/main" id="{ED804E2A-5C9B-413E-BF40-F47DA58B257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26" name="Text 3">
          <a:extLst>
            <a:ext uri="{FF2B5EF4-FFF2-40B4-BE49-F238E27FC236}">
              <a16:creationId xmlns:a16="http://schemas.microsoft.com/office/drawing/2014/main" id="{AB7B4B31-1531-40D4-B520-DD59532B416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27" name="Text 3">
          <a:extLst>
            <a:ext uri="{FF2B5EF4-FFF2-40B4-BE49-F238E27FC236}">
              <a16:creationId xmlns:a16="http://schemas.microsoft.com/office/drawing/2014/main" id="{F7568F1F-BADB-4CB3-92C8-7E2A5029723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28" name="Text 3">
          <a:extLst>
            <a:ext uri="{FF2B5EF4-FFF2-40B4-BE49-F238E27FC236}">
              <a16:creationId xmlns:a16="http://schemas.microsoft.com/office/drawing/2014/main" id="{4BC302B5-81CA-426E-8E76-D2EE93B55B8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29" name="Text 3">
          <a:extLst>
            <a:ext uri="{FF2B5EF4-FFF2-40B4-BE49-F238E27FC236}">
              <a16:creationId xmlns:a16="http://schemas.microsoft.com/office/drawing/2014/main" id="{40B57BE4-FA1A-415D-9F5D-C2D85E259F2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30" name="Text 3">
          <a:extLst>
            <a:ext uri="{FF2B5EF4-FFF2-40B4-BE49-F238E27FC236}">
              <a16:creationId xmlns:a16="http://schemas.microsoft.com/office/drawing/2014/main" id="{60FC15B3-6B58-4429-8EEC-5708B6598AA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31" name="Text 3">
          <a:extLst>
            <a:ext uri="{FF2B5EF4-FFF2-40B4-BE49-F238E27FC236}">
              <a16:creationId xmlns:a16="http://schemas.microsoft.com/office/drawing/2014/main" id="{1D7DE0A2-D68F-4671-9DC9-79AC5481CADB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32" name="Text 3">
          <a:extLst>
            <a:ext uri="{FF2B5EF4-FFF2-40B4-BE49-F238E27FC236}">
              <a16:creationId xmlns:a16="http://schemas.microsoft.com/office/drawing/2014/main" id="{00917084-633F-4DBE-B59B-72D4225ACBB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33" name="Text 3">
          <a:extLst>
            <a:ext uri="{FF2B5EF4-FFF2-40B4-BE49-F238E27FC236}">
              <a16:creationId xmlns:a16="http://schemas.microsoft.com/office/drawing/2014/main" id="{519B415A-8D8B-46EE-B770-27A517EC504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34" name="Text 3">
          <a:extLst>
            <a:ext uri="{FF2B5EF4-FFF2-40B4-BE49-F238E27FC236}">
              <a16:creationId xmlns:a16="http://schemas.microsoft.com/office/drawing/2014/main" id="{F82C4894-5585-4A34-BA28-B12A5B77015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35" name="Text 3">
          <a:extLst>
            <a:ext uri="{FF2B5EF4-FFF2-40B4-BE49-F238E27FC236}">
              <a16:creationId xmlns:a16="http://schemas.microsoft.com/office/drawing/2014/main" id="{A833EBC4-2B61-4611-B66B-68C9A89949A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36" name="Text 3">
          <a:extLst>
            <a:ext uri="{FF2B5EF4-FFF2-40B4-BE49-F238E27FC236}">
              <a16:creationId xmlns:a16="http://schemas.microsoft.com/office/drawing/2014/main" id="{16740E0F-A50B-4360-BA46-443A3AFA82F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37" name="Text 3">
          <a:extLst>
            <a:ext uri="{FF2B5EF4-FFF2-40B4-BE49-F238E27FC236}">
              <a16:creationId xmlns:a16="http://schemas.microsoft.com/office/drawing/2014/main" id="{885358D7-D7AC-43F3-A69D-87193D89F57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38" name="Text 3">
          <a:extLst>
            <a:ext uri="{FF2B5EF4-FFF2-40B4-BE49-F238E27FC236}">
              <a16:creationId xmlns:a16="http://schemas.microsoft.com/office/drawing/2014/main" id="{DBC9A2AB-4042-4C28-9788-B2D9B1BB943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39" name="Text 3">
          <a:extLst>
            <a:ext uri="{FF2B5EF4-FFF2-40B4-BE49-F238E27FC236}">
              <a16:creationId xmlns:a16="http://schemas.microsoft.com/office/drawing/2014/main" id="{BEA8CE7C-99E5-4B8A-8897-741A64C69D6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40" name="Text 3">
          <a:extLst>
            <a:ext uri="{FF2B5EF4-FFF2-40B4-BE49-F238E27FC236}">
              <a16:creationId xmlns:a16="http://schemas.microsoft.com/office/drawing/2014/main" id="{70BD6B79-A58E-4635-8393-1DF18680BA7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41" name="Text 3">
          <a:extLst>
            <a:ext uri="{FF2B5EF4-FFF2-40B4-BE49-F238E27FC236}">
              <a16:creationId xmlns:a16="http://schemas.microsoft.com/office/drawing/2014/main" id="{AF729B03-DE59-4CC4-A94A-A4DFFC9C258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42" name="Text 3">
          <a:extLst>
            <a:ext uri="{FF2B5EF4-FFF2-40B4-BE49-F238E27FC236}">
              <a16:creationId xmlns:a16="http://schemas.microsoft.com/office/drawing/2014/main" id="{A5AE71A1-3C9E-4710-8225-6F44A56A639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43" name="Text 3">
          <a:extLst>
            <a:ext uri="{FF2B5EF4-FFF2-40B4-BE49-F238E27FC236}">
              <a16:creationId xmlns:a16="http://schemas.microsoft.com/office/drawing/2014/main" id="{F123904E-B0DA-4F14-B272-A538E300CD5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44" name="Text 3">
          <a:extLst>
            <a:ext uri="{FF2B5EF4-FFF2-40B4-BE49-F238E27FC236}">
              <a16:creationId xmlns:a16="http://schemas.microsoft.com/office/drawing/2014/main" id="{49F12C07-D12F-4819-B210-B50DCB76D55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45" name="Text 3">
          <a:extLst>
            <a:ext uri="{FF2B5EF4-FFF2-40B4-BE49-F238E27FC236}">
              <a16:creationId xmlns:a16="http://schemas.microsoft.com/office/drawing/2014/main" id="{C6CC793B-CBBB-41E3-A1BB-F7307E98D5F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46" name="Text 3">
          <a:extLst>
            <a:ext uri="{FF2B5EF4-FFF2-40B4-BE49-F238E27FC236}">
              <a16:creationId xmlns:a16="http://schemas.microsoft.com/office/drawing/2014/main" id="{C9BD2A6A-442C-4752-91F8-8DF5396A8F1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47" name="Text 3">
          <a:extLst>
            <a:ext uri="{FF2B5EF4-FFF2-40B4-BE49-F238E27FC236}">
              <a16:creationId xmlns:a16="http://schemas.microsoft.com/office/drawing/2014/main" id="{30020C2E-123D-4E3A-93EC-5F23FB4B8E7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48" name="Text 3">
          <a:extLst>
            <a:ext uri="{FF2B5EF4-FFF2-40B4-BE49-F238E27FC236}">
              <a16:creationId xmlns:a16="http://schemas.microsoft.com/office/drawing/2014/main" id="{55BA0C02-A892-4B89-9033-397D9D5BF7D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49" name="Text 3">
          <a:extLst>
            <a:ext uri="{FF2B5EF4-FFF2-40B4-BE49-F238E27FC236}">
              <a16:creationId xmlns:a16="http://schemas.microsoft.com/office/drawing/2014/main" id="{08EAF783-D55A-4619-A6EA-FDA1F0CAF2E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50" name="Text 3">
          <a:extLst>
            <a:ext uri="{FF2B5EF4-FFF2-40B4-BE49-F238E27FC236}">
              <a16:creationId xmlns:a16="http://schemas.microsoft.com/office/drawing/2014/main" id="{747504C9-EA41-4D06-A798-11BF47D4F42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51" name="Text 3">
          <a:extLst>
            <a:ext uri="{FF2B5EF4-FFF2-40B4-BE49-F238E27FC236}">
              <a16:creationId xmlns:a16="http://schemas.microsoft.com/office/drawing/2014/main" id="{DDA3F489-6F72-4DDD-9452-4EF4D9E15979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52" name="Text 3">
          <a:extLst>
            <a:ext uri="{FF2B5EF4-FFF2-40B4-BE49-F238E27FC236}">
              <a16:creationId xmlns:a16="http://schemas.microsoft.com/office/drawing/2014/main" id="{3A43AC18-CD17-4BF2-AE70-A89D5BFB449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53" name="Text 3">
          <a:extLst>
            <a:ext uri="{FF2B5EF4-FFF2-40B4-BE49-F238E27FC236}">
              <a16:creationId xmlns:a16="http://schemas.microsoft.com/office/drawing/2014/main" id="{0CC5A622-9982-4648-8596-D72FF6FC75A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54" name="Text 3">
          <a:extLst>
            <a:ext uri="{FF2B5EF4-FFF2-40B4-BE49-F238E27FC236}">
              <a16:creationId xmlns:a16="http://schemas.microsoft.com/office/drawing/2014/main" id="{8D6EBC41-9675-487D-B9FE-8A909A82E92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55" name="Text 3">
          <a:extLst>
            <a:ext uri="{FF2B5EF4-FFF2-40B4-BE49-F238E27FC236}">
              <a16:creationId xmlns:a16="http://schemas.microsoft.com/office/drawing/2014/main" id="{57701346-3DDB-464E-8E7B-AC9E3C69EA9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56" name="Text 3">
          <a:extLst>
            <a:ext uri="{FF2B5EF4-FFF2-40B4-BE49-F238E27FC236}">
              <a16:creationId xmlns:a16="http://schemas.microsoft.com/office/drawing/2014/main" id="{1B993DD3-CBB3-45C2-8EEF-6FAEE28D2262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57" name="Text 3">
          <a:extLst>
            <a:ext uri="{FF2B5EF4-FFF2-40B4-BE49-F238E27FC236}">
              <a16:creationId xmlns:a16="http://schemas.microsoft.com/office/drawing/2014/main" id="{E2A3502A-FA6A-4609-AA10-F4EF7469733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58" name="Text 3">
          <a:extLst>
            <a:ext uri="{FF2B5EF4-FFF2-40B4-BE49-F238E27FC236}">
              <a16:creationId xmlns:a16="http://schemas.microsoft.com/office/drawing/2014/main" id="{55249E39-9C16-46E2-920D-0ED47D1853D7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59" name="Text 3">
          <a:extLst>
            <a:ext uri="{FF2B5EF4-FFF2-40B4-BE49-F238E27FC236}">
              <a16:creationId xmlns:a16="http://schemas.microsoft.com/office/drawing/2014/main" id="{F828B453-DC7D-4A0E-A169-2A3CBD125234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60" name="Text 3">
          <a:extLst>
            <a:ext uri="{FF2B5EF4-FFF2-40B4-BE49-F238E27FC236}">
              <a16:creationId xmlns:a16="http://schemas.microsoft.com/office/drawing/2014/main" id="{71FE0C13-D9F4-4BF2-827B-A2B3514CC60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61" name="Text 3">
          <a:extLst>
            <a:ext uri="{FF2B5EF4-FFF2-40B4-BE49-F238E27FC236}">
              <a16:creationId xmlns:a16="http://schemas.microsoft.com/office/drawing/2014/main" id="{BA66B82A-1384-4F75-B4E9-0EED8B18176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62" name="Text 3">
          <a:extLst>
            <a:ext uri="{FF2B5EF4-FFF2-40B4-BE49-F238E27FC236}">
              <a16:creationId xmlns:a16="http://schemas.microsoft.com/office/drawing/2014/main" id="{1E8743E9-C2CB-4335-B498-56EBBBCD74A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63" name="Text 3">
          <a:extLst>
            <a:ext uri="{FF2B5EF4-FFF2-40B4-BE49-F238E27FC236}">
              <a16:creationId xmlns:a16="http://schemas.microsoft.com/office/drawing/2014/main" id="{20833781-008A-46F6-BD77-C024AD66CF1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64" name="Text 3">
          <a:extLst>
            <a:ext uri="{FF2B5EF4-FFF2-40B4-BE49-F238E27FC236}">
              <a16:creationId xmlns:a16="http://schemas.microsoft.com/office/drawing/2014/main" id="{03C12EB7-CBC7-48EB-B765-E1028642949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65" name="Text 3">
          <a:extLst>
            <a:ext uri="{FF2B5EF4-FFF2-40B4-BE49-F238E27FC236}">
              <a16:creationId xmlns:a16="http://schemas.microsoft.com/office/drawing/2014/main" id="{8DF51186-1304-420F-A961-79D39728A12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66" name="Text 3">
          <a:extLst>
            <a:ext uri="{FF2B5EF4-FFF2-40B4-BE49-F238E27FC236}">
              <a16:creationId xmlns:a16="http://schemas.microsoft.com/office/drawing/2014/main" id="{CD8D2DFA-F63C-44FB-9F34-726E4A557494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67" name="Text 3">
          <a:extLst>
            <a:ext uri="{FF2B5EF4-FFF2-40B4-BE49-F238E27FC236}">
              <a16:creationId xmlns:a16="http://schemas.microsoft.com/office/drawing/2014/main" id="{E9A5D2BE-88C1-4D0C-9551-96B45E74CF1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68" name="Text 3">
          <a:extLst>
            <a:ext uri="{FF2B5EF4-FFF2-40B4-BE49-F238E27FC236}">
              <a16:creationId xmlns:a16="http://schemas.microsoft.com/office/drawing/2014/main" id="{93CB88BA-3047-4ABB-9D71-7A63C93B7B9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69" name="Text 3">
          <a:extLst>
            <a:ext uri="{FF2B5EF4-FFF2-40B4-BE49-F238E27FC236}">
              <a16:creationId xmlns:a16="http://schemas.microsoft.com/office/drawing/2014/main" id="{DE268A77-126C-45C1-8C79-0D32952C239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70" name="Text 3">
          <a:extLst>
            <a:ext uri="{FF2B5EF4-FFF2-40B4-BE49-F238E27FC236}">
              <a16:creationId xmlns:a16="http://schemas.microsoft.com/office/drawing/2014/main" id="{65A7B1E8-B1AD-4858-AAF1-B0D6CE7A51B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71" name="Text 3">
          <a:extLst>
            <a:ext uri="{FF2B5EF4-FFF2-40B4-BE49-F238E27FC236}">
              <a16:creationId xmlns:a16="http://schemas.microsoft.com/office/drawing/2014/main" id="{3F3D565C-4B8F-47E9-96A7-1CA5EB48F73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72" name="Text 3">
          <a:extLst>
            <a:ext uri="{FF2B5EF4-FFF2-40B4-BE49-F238E27FC236}">
              <a16:creationId xmlns:a16="http://schemas.microsoft.com/office/drawing/2014/main" id="{B6A52195-9B0F-46E1-B375-88145936393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73" name="Text 3">
          <a:extLst>
            <a:ext uri="{FF2B5EF4-FFF2-40B4-BE49-F238E27FC236}">
              <a16:creationId xmlns:a16="http://schemas.microsoft.com/office/drawing/2014/main" id="{8921FAA8-FD62-4601-B3D8-1C895130E80F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74" name="Text 3">
          <a:extLst>
            <a:ext uri="{FF2B5EF4-FFF2-40B4-BE49-F238E27FC236}">
              <a16:creationId xmlns:a16="http://schemas.microsoft.com/office/drawing/2014/main" id="{6D62063C-9251-430C-BF10-99F077DECB5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75" name="Text 3">
          <a:extLst>
            <a:ext uri="{FF2B5EF4-FFF2-40B4-BE49-F238E27FC236}">
              <a16:creationId xmlns:a16="http://schemas.microsoft.com/office/drawing/2014/main" id="{5D553472-66FD-41CA-ADB4-4F468FBB8CC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76" name="Text 3">
          <a:extLst>
            <a:ext uri="{FF2B5EF4-FFF2-40B4-BE49-F238E27FC236}">
              <a16:creationId xmlns:a16="http://schemas.microsoft.com/office/drawing/2014/main" id="{D39038D6-EF20-446E-89B6-79929378A4F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77" name="Text 3">
          <a:extLst>
            <a:ext uri="{FF2B5EF4-FFF2-40B4-BE49-F238E27FC236}">
              <a16:creationId xmlns:a16="http://schemas.microsoft.com/office/drawing/2014/main" id="{599DA165-17B3-49BC-AE07-F137B696258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78" name="Text 3">
          <a:extLst>
            <a:ext uri="{FF2B5EF4-FFF2-40B4-BE49-F238E27FC236}">
              <a16:creationId xmlns:a16="http://schemas.microsoft.com/office/drawing/2014/main" id="{DDDDD2D2-F07E-49C0-BBE5-8C8DB1FCB776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79" name="Text 3">
          <a:extLst>
            <a:ext uri="{FF2B5EF4-FFF2-40B4-BE49-F238E27FC236}">
              <a16:creationId xmlns:a16="http://schemas.microsoft.com/office/drawing/2014/main" id="{B94EC060-387C-431A-AA52-197702282839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80" name="Text 3">
          <a:extLst>
            <a:ext uri="{FF2B5EF4-FFF2-40B4-BE49-F238E27FC236}">
              <a16:creationId xmlns:a16="http://schemas.microsoft.com/office/drawing/2014/main" id="{862A6BB6-3F5B-48E2-B3C4-F3899F3F252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81" name="Text 3">
          <a:extLst>
            <a:ext uri="{FF2B5EF4-FFF2-40B4-BE49-F238E27FC236}">
              <a16:creationId xmlns:a16="http://schemas.microsoft.com/office/drawing/2014/main" id="{7405280A-85DB-4604-B4E3-46A94FF5CAE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82" name="Text 3">
          <a:extLst>
            <a:ext uri="{FF2B5EF4-FFF2-40B4-BE49-F238E27FC236}">
              <a16:creationId xmlns:a16="http://schemas.microsoft.com/office/drawing/2014/main" id="{5FCB2BDF-128E-442B-A3DF-0E9F0B24674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83" name="Text 3">
          <a:extLst>
            <a:ext uri="{FF2B5EF4-FFF2-40B4-BE49-F238E27FC236}">
              <a16:creationId xmlns:a16="http://schemas.microsoft.com/office/drawing/2014/main" id="{05127F13-EB51-475D-B26E-A5E7EC16E92E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84" name="Text 3">
          <a:extLst>
            <a:ext uri="{FF2B5EF4-FFF2-40B4-BE49-F238E27FC236}">
              <a16:creationId xmlns:a16="http://schemas.microsoft.com/office/drawing/2014/main" id="{2D9FFA9F-C5EC-454F-BC9B-24E39BA18C7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85" name="Text 3">
          <a:extLst>
            <a:ext uri="{FF2B5EF4-FFF2-40B4-BE49-F238E27FC236}">
              <a16:creationId xmlns:a16="http://schemas.microsoft.com/office/drawing/2014/main" id="{7806A02C-CCA8-4281-9B31-6003CE33E2E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86" name="Text 3">
          <a:extLst>
            <a:ext uri="{FF2B5EF4-FFF2-40B4-BE49-F238E27FC236}">
              <a16:creationId xmlns:a16="http://schemas.microsoft.com/office/drawing/2014/main" id="{889FEDFA-2D5A-4315-AD38-3ED2378D29C0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87" name="Text 3">
          <a:extLst>
            <a:ext uri="{FF2B5EF4-FFF2-40B4-BE49-F238E27FC236}">
              <a16:creationId xmlns:a16="http://schemas.microsoft.com/office/drawing/2014/main" id="{180FBCDA-B568-46CF-9263-B081C394B2DA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88" name="Text 3">
          <a:extLst>
            <a:ext uri="{FF2B5EF4-FFF2-40B4-BE49-F238E27FC236}">
              <a16:creationId xmlns:a16="http://schemas.microsoft.com/office/drawing/2014/main" id="{EBD8AAD7-6B0A-4D2D-875D-6153B1E5D6A1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89" name="Text 3">
          <a:extLst>
            <a:ext uri="{FF2B5EF4-FFF2-40B4-BE49-F238E27FC236}">
              <a16:creationId xmlns:a16="http://schemas.microsoft.com/office/drawing/2014/main" id="{C8A5DB4F-7E54-4914-B5B3-1F91C5E676D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90" name="Text 3">
          <a:extLst>
            <a:ext uri="{FF2B5EF4-FFF2-40B4-BE49-F238E27FC236}">
              <a16:creationId xmlns:a16="http://schemas.microsoft.com/office/drawing/2014/main" id="{CF8EEDD5-38EB-43A9-95DC-654840B9930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91" name="Text 3">
          <a:extLst>
            <a:ext uri="{FF2B5EF4-FFF2-40B4-BE49-F238E27FC236}">
              <a16:creationId xmlns:a16="http://schemas.microsoft.com/office/drawing/2014/main" id="{DDF9A1F9-2693-460F-AA40-EE5A9DACED7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92" name="Text 3">
          <a:extLst>
            <a:ext uri="{FF2B5EF4-FFF2-40B4-BE49-F238E27FC236}">
              <a16:creationId xmlns:a16="http://schemas.microsoft.com/office/drawing/2014/main" id="{ADC3CD18-6ADE-4BD2-9634-4FCA869306B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93" name="Text 3">
          <a:extLst>
            <a:ext uri="{FF2B5EF4-FFF2-40B4-BE49-F238E27FC236}">
              <a16:creationId xmlns:a16="http://schemas.microsoft.com/office/drawing/2014/main" id="{D956DB90-BF27-4FE7-BD06-AFFFA68420A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94" name="Text 3">
          <a:extLst>
            <a:ext uri="{FF2B5EF4-FFF2-40B4-BE49-F238E27FC236}">
              <a16:creationId xmlns:a16="http://schemas.microsoft.com/office/drawing/2014/main" id="{BEC3FF8A-0EF6-455A-9B1E-8FF9D9C96594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95" name="Text 3">
          <a:extLst>
            <a:ext uri="{FF2B5EF4-FFF2-40B4-BE49-F238E27FC236}">
              <a16:creationId xmlns:a16="http://schemas.microsoft.com/office/drawing/2014/main" id="{4AF5F1EE-C364-4352-ACF8-9CD4575CB02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96" name="Text 3">
          <a:extLst>
            <a:ext uri="{FF2B5EF4-FFF2-40B4-BE49-F238E27FC236}">
              <a16:creationId xmlns:a16="http://schemas.microsoft.com/office/drawing/2014/main" id="{AAB62CF2-09CA-4DA6-AD6E-62345E1B5B2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497" name="Text 3">
          <a:extLst>
            <a:ext uri="{FF2B5EF4-FFF2-40B4-BE49-F238E27FC236}">
              <a16:creationId xmlns:a16="http://schemas.microsoft.com/office/drawing/2014/main" id="{2CF0D7D8-6498-43C5-8D71-2351F2C1318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498" name="Text 3">
          <a:extLst>
            <a:ext uri="{FF2B5EF4-FFF2-40B4-BE49-F238E27FC236}">
              <a16:creationId xmlns:a16="http://schemas.microsoft.com/office/drawing/2014/main" id="{F4D51638-F428-4282-AF89-5F419265EEF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499" name="Text 3">
          <a:extLst>
            <a:ext uri="{FF2B5EF4-FFF2-40B4-BE49-F238E27FC236}">
              <a16:creationId xmlns:a16="http://schemas.microsoft.com/office/drawing/2014/main" id="{55AC40A4-2393-489B-80A8-56F6641D3C0B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00" name="Text 3">
          <a:extLst>
            <a:ext uri="{FF2B5EF4-FFF2-40B4-BE49-F238E27FC236}">
              <a16:creationId xmlns:a16="http://schemas.microsoft.com/office/drawing/2014/main" id="{E09CD9F8-5DBD-4DBF-B17C-12F8633C6E9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01" name="Text 3">
          <a:extLst>
            <a:ext uri="{FF2B5EF4-FFF2-40B4-BE49-F238E27FC236}">
              <a16:creationId xmlns:a16="http://schemas.microsoft.com/office/drawing/2014/main" id="{5D9DF42C-A009-421E-9860-3ACB88E8076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02" name="Text 3">
          <a:extLst>
            <a:ext uri="{FF2B5EF4-FFF2-40B4-BE49-F238E27FC236}">
              <a16:creationId xmlns:a16="http://schemas.microsoft.com/office/drawing/2014/main" id="{5B2E9D47-6A59-40C4-BBB4-13E39731431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03" name="Text 3">
          <a:extLst>
            <a:ext uri="{FF2B5EF4-FFF2-40B4-BE49-F238E27FC236}">
              <a16:creationId xmlns:a16="http://schemas.microsoft.com/office/drawing/2014/main" id="{4CB744FA-CE1C-4BB8-A503-9FBB2AEE4872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04" name="Text 3">
          <a:extLst>
            <a:ext uri="{FF2B5EF4-FFF2-40B4-BE49-F238E27FC236}">
              <a16:creationId xmlns:a16="http://schemas.microsoft.com/office/drawing/2014/main" id="{7FAAE654-88C3-465A-8855-AE918270E75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05" name="Text 3">
          <a:extLst>
            <a:ext uri="{FF2B5EF4-FFF2-40B4-BE49-F238E27FC236}">
              <a16:creationId xmlns:a16="http://schemas.microsoft.com/office/drawing/2014/main" id="{26DA4B66-3B2A-4B6F-8306-CC591F6EF63E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06" name="Text 3">
          <a:extLst>
            <a:ext uri="{FF2B5EF4-FFF2-40B4-BE49-F238E27FC236}">
              <a16:creationId xmlns:a16="http://schemas.microsoft.com/office/drawing/2014/main" id="{CF64F260-2235-43E0-B8AE-5D21F3D025B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07" name="Text 3">
          <a:extLst>
            <a:ext uri="{FF2B5EF4-FFF2-40B4-BE49-F238E27FC236}">
              <a16:creationId xmlns:a16="http://schemas.microsoft.com/office/drawing/2014/main" id="{A8AFBDC3-57C1-4408-90D7-D05D2D5FCB3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08" name="Text 3">
          <a:extLst>
            <a:ext uri="{FF2B5EF4-FFF2-40B4-BE49-F238E27FC236}">
              <a16:creationId xmlns:a16="http://schemas.microsoft.com/office/drawing/2014/main" id="{4672572D-2EC1-47AF-8602-28FF90B7B85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09" name="Text 3">
          <a:extLst>
            <a:ext uri="{FF2B5EF4-FFF2-40B4-BE49-F238E27FC236}">
              <a16:creationId xmlns:a16="http://schemas.microsoft.com/office/drawing/2014/main" id="{6B90284E-8C98-4210-A5A1-D8D3FD1BF7B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10" name="Text 3">
          <a:extLst>
            <a:ext uri="{FF2B5EF4-FFF2-40B4-BE49-F238E27FC236}">
              <a16:creationId xmlns:a16="http://schemas.microsoft.com/office/drawing/2014/main" id="{639CA189-CABD-4326-82C0-FF1DD91ECBA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11" name="Text 3">
          <a:extLst>
            <a:ext uri="{FF2B5EF4-FFF2-40B4-BE49-F238E27FC236}">
              <a16:creationId xmlns:a16="http://schemas.microsoft.com/office/drawing/2014/main" id="{65ED964C-5F5D-4C0E-9182-2B5C2862B492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12" name="Text 3">
          <a:extLst>
            <a:ext uri="{FF2B5EF4-FFF2-40B4-BE49-F238E27FC236}">
              <a16:creationId xmlns:a16="http://schemas.microsoft.com/office/drawing/2014/main" id="{9885996F-C076-420B-BBD1-FFDB1C7A090E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13" name="Text 3">
          <a:extLst>
            <a:ext uri="{FF2B5EF4-FFF2-40B4-BE49-F238E27FC236}">
              <a16:creationId xmlns:a16="http://schemas.microsoft.com/office/drawing/2014/main" id="{D9FC59CE-50C2-4AC8-A30C-F402ACAEC98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14" name="Text 3">
          <a:extLst>
            <a:ext uri="{FF2B5EF4-FFF2-40B4-BE49-F238E27FC236}">
              <a16:creationId xmlns:a16="http://schemas.microsoft.com/office/drawing/2014/main" id="{669BDB5D-3F3A-413A-AAE7-8FF881950191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15" name="Text 3">
          <a:extLst>
            <a:ext uri="{FF2B5EF4-FFF2-40B4-BE49-F238E27FC236}">
              <a16:creationId xmlns:a16="http://schemas.microsoft.com/office/drawing/2014/main" id="{36551953-26EB-43A8-B8E1-ED4A8E46C09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16" name="Text 3">
          <a:extLst>
            <a:ext uri="{FF2B5EF4-FFF2-40B4-BE49-F238E27FC236}">
              <a16:creationId xmlns:a16="http://schemas.microsoft.com/office/drawing/2014/main" id="{81847412-05BB-47EE-8732-A8E964420D66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17" name="Text 3">
          <a:extLst>
            <a:ext uri="{FF2B5EF4-FFF2-40B4-BE49-F238E27FC236}">
              <a16:creationId xmlns:a16="http://schemas.microsoft.com/office/drawing/2014/main" id="{DA900263-39F6-4047-B8C7-A97E75BC4BEF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18" name="Text 3">
          <a:extLst>
            <a:ext uri="{FF2B5EF4-FFF2-40B4-BE49-F238E27FC236}">
              <a16:creationId xmlns:a16="http://schemas.microsoft.com/office/drawing/2014/main" id="{2FDA8B2C-0FDE-447D-A49D-F5906B236BA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19" name="Text 3">
          <a:extLst>
            <a:ext uri="{FF2B5EF4-FFF2-40B4-BE49-F238E27FC236}">
              <a16:creationId xmlns:a16="http://schemas.microsoft.com/office/drawing/2014/main" id="{36177FA7-A9DE-4281-B620-29B4DC07107D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20" name="Text 3">
          <a:extLst>
            <a:ext uri="{FF2B5EF4-FFF2-40B4-BE49-F238E27FC236}">
              <a16:creationId xmlns:a16="http://schemas.microsoft.com/office/drawing/2014/main" id="{8FB27249-0D24-4D3D-AE8C-0FC75D1B627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21" name="Text 3">
          <a:extLst>
            <a:ext uri="{FF2B5EF4-FFF2-40B4-BE49-F238E27FC236}">
              <a16:creationId xmlns:a16="http://schemas.microsoft.com/office/drawing/2014/main" id="{8C68A0BF-5655-4C5B-A830-39351785D4F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22" name="Text 3">
          <a:extLst>
            <a:ext uri="{FF2B5EF4-FFF2-40B4-BE49-F238E27FC236}">
              <a16:creationId xmlns:a16="http://schemas.microsoft.com/office/drawing/2014/main" id="{8D5F3DF9-1245-406E-B565-3F969B6D9F5B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23" name="Text 3">
          <a:extLst>
            <a:ext uri="{FF2B5EF4-FFF2-40B4-BE49-F238E27FC236}">
              <a16:creationId xmlns:a16="http://schemas.microsoft.com/office/drawing/2014/main" id="{FD33D3D4-0E00-415D-961D-4EB09662CB8C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24" name="Text 3">
          <a:extLst>
            <a:ext uri="{FF2B5EF4-FFF2-40B4-BE49-F238E27FC236}">
              <a16:creationId xmlns:a16="http://schemas.microsoft.com/office/drawing/2014/main" id="{539994F7-1730-450C-A706-B071E1A6D2B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25" name="Text 3">
          <a:extLst>
            <a:ext uri="{FF2B5EF4-FFF2-40B4-BE49-F238E27FC236}">
              <a16:creationId xmlns:a16="http://schemas.microsoft.com/office/drawing/2014/main" id="{E5FD4E2F-D7CB-4273-A12A-3777E8052E9F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26" name="Text 3">
          <a:extLst>
            <a:ext uri="{FF2B5EF4-FFF2-40B4-BE49-F238E27FC236}">
              <a16:creationId xmlns:a16="http://schemas.microsoft.com/office/drawing/2014/main" id="{3BA21269-9856-424A-9FEB-5F2E7F4CCF40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27" name="Text 3">
          <a:extLst>
            <a:ext uri="{FF2B5EF4-FFF2-40B4-BE49-F238E27FC236}">
              <a16:creationId xmlns:a16="http://schemas.microsoft.com/office/drawing/2014/main" id="{DB22BCB4-7A49-4FC1-A5B6-F11D0E306EDA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28" name="Text 3">
          <a:extLst>
            <a:ext uri="{FF2B5EF4-FFF2-40B4-BE49-F238E27FC236}">
              <a16:creationId xmlns:a16="http://schemas.microsoft.com/office/drawing/2014/main" id="{9E72CD5C-1103-4D74-B4F8-B36B4A7CD958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29" name="Text 3">
          <a:extLst>
            <a:ext uri="{FF2B5EF4-FFF2-40B4-BE49-F238E27FC236}">
              <a16:creationId xmlns:a16="http://schemas.microsoft.com/office/drawing/2014/main" id="{1A57FD6D-2ED7-4B86-9DFD-8D2571A534D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30" name="Text 3">
          <a:extLst>
            <a:ext uri="{FF2B5EF4-FFF2-40B4-BE49-F238E27FC236}">
              <a16:creationId xmlns:a16="http://schemas.microsoft.com/office/drawing/2014/main" id="{4D6C8E37-E1E6-4EE2-96ED-9D2C02BC5D03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31" name="Text 3">
          <a:extLst>
            <a:ext uri="{FF2B5EF4-FFF2-40B4-BE49-F238E27FC236}">
              <a16:creationId xmlns:a16="http://schemas.microsoft.com/office/drawing/2014/main" id="{C9274AEB-B518-4372-940D-23DA023D385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32" name="Text 3">
          <a:extLst>
            <a:ext uri="{FF2B5EF4-FFF2-40B4-BE49-F238E27FC236}">
              <a16:creationId xmlns:a16="http://schemas.microsoft.com/office/drawing/2014/main" id="{4428559F-4036-48F0-9DC5-BF01CE8E18A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33" name="Text 3">
          <a:extLst>
            <a:ext uri="{FF2B5EF4-FFF2-40B4-BE49-F238E27FC236}">
              <a16:creationId xmlns:a16="http://schemas.microsoft.com/office/drawing/2014/main" id="{525B2D54-0EEA-4C1D-A1AB-7E1D1767517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34" name="Text 3">
          <a:extLst>
            <a:ext uri="{FF2B5EF4-FFF2-40B4-BE49-F238E27FC236}">
              <a16:creationId xmlns:a16="http://schemas.microsoft.com/office/drawing/2014/main" id="{02B36768-A7E5-434C-8AEF-51705294B42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35" name="Text 3">
          <a:extLst>
            <a:ext uri="{FF2B5EF4-FFF2-40B4-BE49-F238E27FC236}">
              <a16:creationId xmlns:a16="http://schemas.microsoft.com/office/drawing/2014/main" id="{7AF329D8-E9DE-4FE4-A3CF-C5E52CF09653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36" name="Text 3">
          <a:extLst>
            <a:ext uri="{FF2B5EF4-FFF2-40B4-BE49-F238E27FC236}">
              <a16:creationId xmlns:a16="http://schemas.microsoft.com/office/drawing/2014/main" id="{65028F5B-82E9-4DDB-BEF9-670F47F7E5D5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37" name="Text 3">
          <a:extLst>
            <a:ext uri="{FF2B5EF4-FFF2-40B4-BE49-F238E27FC236}">
              <a16:creationId xmlns:a16="http://schemas.microsoft.com/office/drawing/2014/main" id="{EB7BF77D-B92C-4EB5-A647-842DE69F15BC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38" name="Text 3">
          <a:extLst>
            <a:ext uri="{FF2B5EF4-FFF2-40B4-BE49-F238E27FC236}">
              <a16:creationId xmlns:a16="http://schemas.microsoft.com/office/drawing/2014/main" id="{99FD1327-F689-403F-A3F1-0B94145A1F7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39" name="Text 3">
          <a:extLst>
            <a:ext uri="{FF2B5EF4-FFF2-40B4-BE49-F238E27FC236}">
              <a16:creationId xmlns:a16="http://schemas.microsoft.com/office/drawing/2014/main" id="{5A90BB18-DF8F-4B90-9440-57C201D85EAC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40" name="Text 3">
          <a:extLst>
            <a:ext uri="{FF2B5EF4-FFF2-40B4-BE49-F238E27FC236}">
              <a16:creationId xmlns:a16="http://schemas.microsoft.com/office/drawing/2014/main" id="{707A9208-8547-4F9E-AF95-F863EB7C12D9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41" name="Text 3">
          <a:extLst>
            <a:ext uri="{FF2B5EF4-FFF2-40B4-BE49-F238E27FC236}">
              <a16:creationId xmlns:a16="http://schemas.microsoft.com/office/drawing/2014/main" id="{4F7A07E5-0210-4948-8AC2-CA1D7CD1D757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42" name="Text 3">
          <a:extLst>
            <a:ext uri="{FF2B5EF4-FFF2-40B4-BE49-F238E27FC236}">
              <a16:creationId xmlns:a16="http://schemas.microsoft.com/office/drawing/2014/main" id="{663CB037-12BE-410D-AD54-574C7952A3C0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43" name="Text 3">
          <a:extLst>
            <a:ext uri="{FF2B5EF4-FFF2-40B4-BE49-F238E27FC236}">
              <a16:creationId xmlns:a16="http://schemas.microsoft.com/office/drawing/2014/main" id="{A44ABDFF-2243-4AC1-9C1E-4E12C3D2D623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44" name="Text 3">
          <a:extLst>
            <a:ext uri="{FF2B5EF4-FFF2-40B4-BE49-F238E27FC236}">
              <a16:creationId xmlns:a16="http://schemas.microsoft.com/office/drawing/2014/main" id="{2F7A4BE3-745C-42B0-89EA-471BE7F4A245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45" name="Text 3">
          <a:extLst>
            <a:ext uri="{FF2B5EF4-FFF2-40B4-BE49-F238E27FC236}">
              <a16:creationId xmlns:a16="http://schemas.microsoft.com/office/drawing/2014/main" id="{281E3A4E-5F6F-4852-823F-5F39CFAE2768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46" name="Text 3">
          <a:extLst>
            <a:ext uri="{FF2B5EF4-FFF2-40B4-BE49-F238E27FC236}">
              <a16:creationId xmlns:a16="http://schemas.microsoft.com/office/drawing/2014/main" id="{511BBB4F-A97E-4BE6-96CE-0885D8386871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32</xdr:row>
      <xdr:rowOff>0</xdr:rowOff>
    </xdr:from>
    <xdr:to>
      <xdr:col>5</xdr:col>
      <xdr:colOff>266700</xdr:colOff>
      <xdr:row>32</xdr:row>
      <xdr:rowOff>0</xdr:rowOff>
    </xdr:to>
    <xdr:sp macro="" textlink="">
      <xdr:nvSpPr>
        <xdr:cNvPr id="1547" name="Text 3">
          <a:extLst>
            <a:ext uri="{FF2B5EF4-FFF2-40B4-BE49-F238E27FC236}">
              <a16:creationId xmlns:a16="http://schemas.microsoft.com/office/drawing/2014/main" id="{45077742-C9C9-473A-969A-0C5913F51158}"/>
            </a:ext>
          </a:extLst>
        </xdr:cNvPr>
        <xdr:cNvSpPr txBox="1">
          <a:spLocks noChangeArrowheads="1"/>
        </xdr:cNvSpPr>
      </xdr:nvSpPr>
      <xdr:spPr bwMode="auto">
        <a:xfrm>
          <a:off x="285750" y="1357884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28</xdr:row>
      <xdr:rowOff>0</xdr:rowOff>
    </xdr:from>
    <xdr:to>
      <xdr:col>5</xdr:col>
      <xdr:colOff>266700</xdr:colOff>
      <xdr:row>28</xdr:row>
      <xdr:rowOff>0</xdr:rowOff>
    </xdr:to>
    <xdr:sp macro="" textlink="">
      <xdr:nvSpPr>
        <xdr:cNvPr id="1548" name="Text 3">
          <a:extLst>
            <a:ext uri="{FF2B5EF4-FFF2-40B4-BE49-F238E27FC236}">
              <a16:creationId xmlns:a16="http://schemas.microsoft.com/office/drawing/2014/main" id="{1E35DB69-7468-4768-9047-33938CBAE2FD}"/>
            </a:ext>
          </a:extLst>
        </xdr:cNvPr>
        <xdr:cNvSpPr txBox="1">
          <a:spLocks noChangeArrowheads="1"/>
        </xdr:cNvSpPr>
      </xdr:nvSpPr>
      <xdr:spPr bwMode="auto">
        <a:xfrm>
          <a:off x="285750" y="1180338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  <xdr:twoCellAnchor>
    <xdr:from>
      <xdr:col>0</xdr:col>
      <xdr:colOff>285750</xdr:colOff>
      <xdr:row>29</xdr:row>
      <xdr:rowOff>0</xdr:rowOff>
    </xdr:from>
    <xdr:to>
      <xdr:col>5</xdr:col>
      <xdr:colOff>266700</xdr:colOff>
      <xdr:row>29</xdr:row>
      <xdr:rowOff>0</xdr:rowOff>
    </xdr:to>
    <xdr:sp macro="" textlink="">
      <xdr:nvSpPr>
        <xdr:cNvPr id="1549" name="Text 3">
          <a:extLst>
            <a:ext uri="{FF2B5EF4-FFF2-40B4-BE49-F238E27FC236}">
              <a16:creationId xmlns:a16="http://schemas.microsoft.com/office/drawing/2014/main" id="{241C0154-B681-45D3-A762-3F2048F57105}"/>
            </a:ext>
          </a:extLst>
        </xdr:cNvPr>
        <xdr:cNvSpPr txBox="1">
          <a:spLocks noChangeArrowheads="1"/>
        </xdr:cNvSpPr>
      </xdr:nvSpPr>
      <xdr:spPr bwMode="auto">
        <a:xfrm>
          <a:off x="285750" y="12428220"/>
          <a:ext cx="1924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438-1, MOGOK-DONG,PYUNGTAEK KYUNGKI-DO, KOREA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PHONE :(0333) 667-5171</a:t>
          </a:r>
        </a:p>
        <a:p>
          <a:pPr algn="l" rtl="0">
            <a:defRPr sz="1000"/>
          </a:pPr>
          <a:r>
            <a:rPr lang="en-US" altLang="ko-KR" sz="700" b="0" i="0" u="none" strike="noStrike" baseline="0">
              <a:solidFill>
                <a:srgbClr val="000000"/>
              </a:solidFill>
              <a:latin typeface="Vogue"/>
            </a:rPr>
            <a:t>FAX   :(0333) 667-4200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3.150\Users\JK-Kim\Dropbox\&#50629;&#47924;&#44288;&#47144;\Job%20status\20140203_JobStatusKitsTrackingFile(S1B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OR_&#51312;&#50500;&#547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ob Status"/>
      <sheetName val="300MM EncoreII"/>
      <sheetName val="Ta Coil"/>
      <sheetName val="TAT"/>
      <sheetName val="Producer Showerhead"/>
      <sheetName val="Neon Quartz"/>
      <sheetName val="list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B3" t="str">
            <v>S-S1BL</v>
          </cell>
        </row>
      </sheetData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OR"/>
      <sheetName val="단가"/>
      <sheetName val="Sheet2"/>
      <sheetName val="Encore"/>
    </sheetNames>
    <sheetDataSet>
      <sheetData sheetId="0"/>
      <sheetData sheetId="1"/>
      <sheetData sheetId="2">
        <row r="3">
          <cell r="L3" t="str">
            <v>0247-04780|M14</v>
          </cell>
          <cell r="M3" t="str">
            <v>M14 // Blocker Plate5</v>
          </cell>
        </row>
        <row r="4">
          <cell r="L4" t="str">
            <v>0247-05220|M14 R3</v>
          </cell>
          <cell r="M4" t="str">
            <v>M15 // Blocker Plate5</v>
          </cell>
        </row>
        <row r="5">
          <cell r="L5" t="str">
            <v>0247-04884|M15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39"/>
  <sheetViews>
    <sheetView workbookViewId="0">
      <selection sqref="A1:H19"/>
    </sheetView>
  </sheetViews>
  <sheetFormatPr defaultRowHeight="16.5"/>
  <cols>
    <col min="1" max="1" width="12.75" customWidth="1"/>
    <col min="2" max="2" width="13.125" customWidth="1"/>
    <col min="3" max="3" width="15.375" bestFit="1" customWidth="1"/>
    <col min="4" max="4" width="16.125" bestFit="1" customWidth="1"/>
    <col min="5" max="5" width="27.375" bestFit="1" customWidth="1"/>
    <col min="6" max="6" width="17.375" customWidth="1"/>
    <col min="7" max="7" width="39.875" customWidth="1"/>
    <col min="8" max="8" width="19.5" bestFit="1" customWidth="1"/>
  </cols>
  <sheetData>
    <row r="1" spans="1:11">
      <c r="A1" s="171" t="s">
        <v>17</v>
      </c>
      <c r="B1" s="172"/>
      <c r="C1" s="172"/>
      <c r="D1" s="172"/>
      <c r="E1" s="172"/>
      <c r="F1" s="172"/>
      <c r="G1" s="172"/>
      <c r="H1" s="172"/>
    </row>
    <row r="2" spans="1:11" ht="18" customHeight="1">
      <c r="A2" s="175" t="s">
        <v>68</v>
      </c>
      <c r="B2" s="177" t="s">
        <v>18</v>
      </c>
      <c r="C2" s="177" t="s">
        <v>9</v>
      </c>
      <c r="D2" s="177" t="s">
        <v>11</v>
      </c>
      <c r="E2" s="177" t="s">
        <v>12</v>
      </c>
      <c r="F2" s="177" t="s">
        <v>10</v>
      </c>
      <c r="G2" s="173" t="s">
        <v>19</v>
      </c>
      <c r="H2" s="173" t="s">
        <v>66</v>
      </c>
    </row>
    <row r="3" spans="1:11" ht="17.25" thickBot="1">
      <c r="A3" s="176"/>
      <c r="B3" s="178"/>
      <c r="C3" s="178"/>
      <c r="D3" s="178"/>
      <c r="E3" s="178"/>
      <c r="F3" s="178"/>
      <c r="G3" s="174"/>
      <c r="H3" s="174"/>
      <c r="K3" s="77">
        <v>23</v>
      </c>
    </row>
    <row r="4" spans="1:11">
      <c r="A4" s="153" t="s">
        <v>81</v>
      </c>
      <c r="B4" s="161">
        <v>46169</v>
      </c>
      <c r="C4" s="75" t="s">
        <v>71</v>
      </c>
      <c r="D4" s="76" t="s">
        <v>4</v>
      </c>
      <c r="E4" s="75" t="s">
        <v>84</v>
      </c>
      <c r="F4" s="153">
        <v>4522764472</v>
      </c>
      <c r="G4" s="158" t="s">
        <v>69</v>
      </c>
      <c r="H4" s="155" t="s">
        <v>82</v>
      </c>
    </row>
    <row r="5" spans="1:11">
      <c r="A5" s="153"/>
      <c r="B5" s="162"/>
      <c r="C5" s="55" t="s">
        <v>72</v>
      </c>
      <c r="D5" s="57" t="s">
        <v>13</v>
      </c>
      <c r="E5" s="55" t="s">
        <v>85</v>
      </c>
      <c r="F5" s="153"/>
      <c r="G5" s="159"/>
      <c r="H5" s="156"/>
    </row>
    <row r="6" spans="1:11">
      <c r="A6" s="153"/>
      <c r="B6" s="162"/>
      <c r="C6" s="55" t="s">
        <v>73</v>
      </c>
      <c r="D6" s="57" t="s">
        <v>14</v>
      </c>
      <c r="E6" s="55" t="s">
        <v>86</v>
      </c>
      <c r="F6" s="153"/>
      <c r="G6" s="159"/>
      <c r="H6" s="156"/>
    </row>
    <row r="7" spans="1:11">
      <c r="A7" s="153"/>
      <c r="B7" s="162"/>
      <c r="C7" s="55" t="s">
        <v>74</v>
      </c>
      <c r="D7" s="57" t="s">
        <v>5</v>
      </c>
      <c r="E7" s="55" t="s">
        <v>87</v>
      </c>
      <c r="F7" s="153"/>
      <c r="G7" s="159"/>
      <c r="H7" s="156"/>
    </row>
    <row r="8" spans="1:11">
      <c r="A8" s="153"/>
      <c r="B8" s="162"/>
      <c r="C8" s="55" t="s">
        <v>75</v>
      </c>
      <c r="D8" s="57" t="s">
        <v>15</v>
      </c>
      <c r="E8" s="55" t="s">
        <v>88</v>
      </c>
      <c r="F8" s="153"/>
      <c r="G8" s="159"/>
      <c r="H8" s="156"/>
    </row>
    <row r="9" spans="1:11">
      <c r="A9" s="153"/>
      <c r="B9" s="162"/>
      <c r="C9" s="55" t="s">
        <v>76</v>
      </c>
      <c r="D9" s="57" t="s">
        <v>16</v>
      </c>
      <c r="E9" s="55" t="s">
        <v>64</v>
      </c>
      <c r="F9" s="153"/>
      <c r="G9" s="159"/>
      <c r="H9" s="156"/>
    </row>
    <row r="10" spans="1:11">
      <c r="A10" s="153"/>
      <c r="B10" s="162"/>
      <c r="C10" s="55" t="s">
        <v>79</v>
      </c>
      <c r="D10" s="57" t="s">
        <v>77</v>
      </c>
      <c r="E10" s="55" t="s">
        <v>89</v>
      </c>
      <c r="F10" s="153"/>
      <c r="G10" s="159"/>
      <c r="H10" s="156"/>
    </row>
    <row r="11" spans="1:11" ht="17.25" thickBot="1">
      <c r="A11" s="154"/>
      <c r="B11" s="163"/>
      <c r="C11" s="54" t="s">
        <v>78</v>
      </c>
      <c r="D11" s="58" t="s">
        <v>67</v>
      </c>
      <c r="E11" s="79"/>
      <c r="F11" s="154"/>
      <c r="G11" s="160"/>
      <c r="H11" s="157"/>
    </row>
    <row r="12" spans="1:11" ht="17.45" customHeight="1">
      <c r="A12" s="167" t="s">
        <v>80</v>
      </c>
      <c r="B12" s="168">
        <v>46170</v>
      </c>
      <c r="C12" s="53" t="s">
        <v>71</v>
      </c>
      <c r="D12" s="56" t="s">
        <v>4</v>
      </c>
      <c r="E12" s="53" t="s">
        <v>90</v>
      </c>
      <c r="F12" s="167">
        <v>4522764491</v>
      </c>
      <c r="G12" s="158" t="s">
        <v>69</v>
      </c>
      <c r="H12" s="155" t="s">
        <v>83</v>
      </c>
    </row>
    <row r="13" spans="1:11">
      <c r="A13" s="153"/>
      <c r="B13" s="169"/>
      <c r="C13" s="55" t="s">
        <v>72</v>
      </c>
      <c r="D13" s="57" t="s">
        <v>13</v>
      </c>
      <c r="E13" s="55" t="s">
        <v>91</v>
      </c>
      <c r="F13" s="153"/>
      <c r="G13" s="159"/>
      <c r="H13" s="156"/>
    </row>
    <row r="14" spans="1:11">
      <c r="A14" s="153"/>
      <c r="B14" s="169"/>
      <c r="C14" s="55" t="s">
        <v>73</v>
      </c>
      <c r="D14" s="57" t="s">
        <v>14</v>
      </c>
      <c r="E14" s="55" t="s">
        <v>92</v>
      </c>
      <c r="F14" s="153"/>
      <c r="G14" s="159"/>
      <c r="H14" s="156"/>
    </row>
    <row r="15" spans="1:11">
      <c r="A15" s="153"/>
      <c r="B15" s="169"/>
      <c r="C15" s="55" t="s">
        <v>74</v>
      </c>
      <c r="D15" s="57" t="s">
        <v>5</v>
      </c>
      <c r="E15" s="55" t="s">
        <v>93</v>
      </c>
      <c r="F15" s="153"/>
      <c r="G15" s="159"/>
      <c r="H15" s="156"/>
    </row>
    <row r="16" spans="1:11">
      <c r="A16" s="153"/>
      <c r="B16" s="169"/>
      <c r="C16" s="55" t="s">
        <v>75</v>
      </c>
      <c r="D16" s="57" t="s">
        <v>15</v>
      </c>
      <c r="E16" s="55" t="s">
        <v>94</v>
      </c>
      <c r="F16" s="153"/>
      <c r="G16" s="159"/>
      <c r="H16" s="156"/>
    </row>
    <row r="17" spans="1:8">
      <c r="A17" s="153"/>
      <c r="B17" s="169"/>
      <c r="C17" s="55" t="s">
        <v>76</v>
      </c>
      <c r="D17" s="57" t="s">
        <v>16</v>
      </c>
      <c r="E17" s="55" t="s">
        <v>64</v>
      </c>
      <c r="F17" s="153"/>
      <c r="G17" s="159"/>
      <c r="H17" s="156"/>
    </row>
    <row r="18" spans="1:8">
      <c r="A18" s="153"/>
      <c r="B18" s="169"/>
      <c r="C18" s="55" t="s">
        <v>79</v>
      </c>
      <c r="D18" s="57" t="s">
        <v>77</v>
      </c>
      <c r="E18" s="55" t="s">
        <v>95</v>
      </c>
      <c r="F18" s="153"/>
      <c r="G18" s="159"/>
      <c r="H18" s="156"/>
    </row>
    <row r="19" spans="1:8" ht="17.25" thickBot="1">
      <c r="A19" s="154"/>
      <c r="B19" s="170"/>
      <c r="C19" s="54" t="s">
        <v>78</v>
      </c>
      <c r="D19" s="58" t="s">
        <v>67</v>
      </c>
      <c r="E19" s="74"/>
      <c r="F19" s="154"/>
      <c r="G19" s="160"/>
      <c r="H19" s="157"/>
    </row>
    <row r="20" spans="1:8">
      <c r="A20" s="167"/>
      <c r="B20" s="168"/>
      <c r="C20" s="53"/>
      <c r="D20" s="56"/>
      <c r="E20" s="53"/>
      <c r="F20" s="167"/>
      <c r="G20" s="158"/>
      <c r="H20" s="155"/>
    </row>
    <row r="21" spans="1:8">
      <c r="A21" s="153"/>
      <c r="B21" s="169"/>
      <c r="C21" s="55"/>
      <c r="D21" s="57"/>
      <c r="E21" s="55"/>
      <c r="F21" s="153"/>
      <c r="G21" s="159"/>
      <c r="H21" s="156"/>
    </row>
    <row r="22" spans="1:8">
      <c r="A22" s="153"/>
      <c r="B22" s="169"/>
      <c r="C22" s="55"/>
      <c r="D22" s="57"/>
      <c r="E22" s="55"/>
      <c r="F22" s="153"/>
      <c r="G22" s="159"/>
      <c r="H22" s="156"/>
    </row>
    <row r="23" spans="1:8">
      <c r="A23" s="153"/>
      <c r="B23" s="169"/>
      <c r="C23" s="55"/>
      <c r="D23" s="57"/>
      <c r="E23" s="55"/>
      <c r="F23" s="153"/>
      <c r="G23" s="159"/>
      <c r="H23" s="156"/>
    </row>
    <row r="24" spans="1:8">
      <c r="A24" s="153"/>
      <c r="B24" s="169"/>
      <c r="C24" s="55"/>
      <c r="D24" s="57"/>
      <c r="E24" s="55"/>
      <c r="F24" s="153"/>
      <c r="G24" s="159"/>
      <c r="H24" s="156"/>
    </row>
    <row r="25" spans="1:8">
      <c r="A25" s="153"/>
      <c r="B25" s="169"/>
      <c r="C25" s="55"/>
      <c r="D25" s="57"/>
      <c r="E25" s="55"/>
      <c r="F25" s="153"/>
      <c r="G25" s="159"/>
      <c r="H25" s="156"/>
    </row>
    <row r="26" spans="1:8">
      <c r="A26" s="153"/>
      <c r="B26" s="169"/>
      <c r="C26" s="55"/>
      <c r="D26" s="57"/>
      <c r="E26" s="55"/>
      <c r="F26" s="153"/>
      <c r="G26" s="159"/>
      <c r="H26" s="156"/>
    </row>
    <row r="27" spans="1:8" ht="17.25" thickBot="1">
      <c r="A27" s="154"/>
      <c r="B27" s="170"/>
      <c r="C27" s="54"/>
      <c r="D27" s="58"/>
      <c r="E27" s="74"/>
      <c r="F27" s="154"/>
      <c r="G27" s="160"/>
      <c r="H27" s="157"/>
    </row>
    <row r="28" spans="1:8">
      <c r="A28" s="167"/>
      <c r="B28" s="168"/>
      <c r="C28" s="53"/>
      <c r="D28" s="56"/>
      <c r="E28" s="53"/>
      <c r="F28" s="167"/>
      <c r="G28" s="158"/>
      <c r="H28" s="155"/>
    </row>
    <row r="29" spans="1:8">
      <c r="A29" s="153"/>
      <c r="B29" s="169"/>
      <c r="C29" s="55"/>
      <c r="D29" s="57"/>
      <c r="E29" s="55"/>
      <c r="F29" s="153"/>
      <c r="G29" s="159"/>
      <c r="H29" s="156"/>
    </row>
    <row r="30" spans="1:8">
      <c r="A30" s="153"/>
      <c r="B30" s="169"/>
      <c r="C30" s="55"/>
      <c r="D30" s="57"/>
      <c r="E30" s="55"/>
      <c r="F30" s="153"/>
      <c r="G30" s="159"/>
      <c r="H30" s="156"/>
    </row>
    <row r="31" spans="1:8">
      <c r="A31" s="153"/>
      <c r="B31" s="169"/>
      <c r="C31" s="55"/>
      <c r="D31" s="57"/>
      <c r="E31" s="55"/>
      <c r="F31" s="153"/>
      <c r="G31" s="159"/>
      <c r="H31" s="156"/>
    </row>
    <row r="32" spans="1:8">
      <c r="A32" s="153"/>
      <c r="B32" s="169"/>
      <c r="C32" s="55"/>
      <c r="D32" s="57"/>
      <c r="E32" s="55"/>
      <c r="F32" s="153"/>
      <c r="G32" s="159"/>
      <c r="H32" s="156"/>
    </row>
    <row r="33" spans="1:8">
      <c r="A33" s="153"/>
      <c r="B33" s="169"/>
      <c r="C33" s="55"/>
      <c r="D33" s="57"/>
      <c r="E33" s="55"/>
      <c r="F33" s="153"/>
      <c r="G33" s="159"/>
      <c r="H33" s="156"/>
    </row>
    <row r="34" spans="1:8">
      <c r="A34" s="153"/>
      <c r="B34" s="169"/>
      <c r="C34" s="55"/>
      <c r="D34" s="57"/>
      <c r="E34" s="55"/>
      <c r="F34" s="153"/>
      <c r="G34" s="159"/>
      <c r="H34" s="156"/>
    </row>
    <row r="35" spans="1:8" ht="17.25" thickBot="1">
      <c r="A35" s="154"/>
      <c r="B35" s="170"/>
      <c r="C35" s="54"/>
      <c r="D35" s="58"/>
      <c r="E35" s="74"/>
      <c r="F35" s="154"/>
      <c r="G35" s="160"/>
      <c r="H35" s="157"/>
    </row>
    <row r="36" spans="1:8" ht="17.45" customHeight="1">
      <c r="A36" s="153"/>
      <c r="B36" s="168"/>
      <c r="C36" s="75"/>
      <c r="D36" s="76"/>
      <c r="E36" s="75"/>
      <c r="F36" s="153"/>
      <c r="G36" s="158"/>
      <c r="H36" s="155"/>
    </row>
    <row r="37" spans="1:8" ht="17.45" customHeight="1">
      <c r="A37" s="153"/>
      <c r="B37" s="169"/>
      <c r="C37" s="55"/>
      <c r="D37" s="57"/>
      <c r="E37" s="55"/>
      <c r="F37" s="153"/>
      <c r="G37" s="159"/>
      <c r="H37" s="156"/>
    </row>
    <row r="38" spans="1:8" ht="17.45" customHeight="1">
      <c r="A38" s="153"/>
      <c r="B38" s="169"/>
      <c r="C38" s="55"/>
      <c r="D38" s="57"/>
      <c r="E38" s="55"/>
      <c r="F38" s="153"/>
      <c r="G38" s="159"/>
      <c r="H38" s="156"/>
    </row>
    <row r="39" spans="1:8" ht="17.45" customHeight="1">
      <c r="A39" s="153"/>
      <c r="B39" s="169"/>
      <c r="C39" s="55"/>
      <c r="D39" s="57"/>
      <c r="E39" s="55"/>
      <c r="F39" s="153"/>
      <c r="G39" s="159"/>
      <c r="H39" s="156"/>
    </row>
    <row r="40" spans="1:8" ht="17.45" customHeight="1">
      <c r="A40" s="153"/>
      <c r="B40" s="169"/>
      <c r="C40" s="55"/>
      <c r="D40" s="57"/>
      <c r="E40" s="55"/>
      <c r="F40" s="153"/>
      <c r="G40" s="159"/>
      <c r="H40" s="156"/>
    </row>
    <row r="41" spans="1:8" ht="17.45" customHeight="1">
      <c r="A41" s="153"/>
      <c r="B41" s="169"/>
      <c r="C41" s="55"/>
      <c r="D41" s="57"/>
      <c r="E41" s="55"/>
      <c r="F41" s="153"/>
      <c r="G41" s="159"/>
      <c r="H41" s="156"/>
    </row>
    <row r="42" spans="1:8" ht="17.45" customHeight="1">
      <c r="A42" s="153"/>
      <c r="B42" s="169"/>
      <c r="C42" s="55"/>
      <c r="D42" s="57"/>
      <c r="E42" s="55"/>
      <c r="F42" s="153"/>
      <c r="G42" s="159"/>
      <c r="H42" s="156"/>
    </row>
    <row r="43" spans="1:8" ht="18" customHeight="1" thickBot="1">
      <c r="A43" s="154"/>
      <c r="B43" s="170"/>
      <c r="C43" s="54"/>
      <c r="D43" s="58"/>
      <c r="E43" s="79"/>
      <c r="F43" s="154"/>
      <c r="G43" s="160"/>
      <c r="H43" s="157"/>
    </row>
    <row r="44" spans="1:8" ht="17.45" customHeight="1">
      <c r="A44" s="180"/>
      <c r="B44" s="161"/>
      <c r="C44" s="53"/>
      <c r="D44" s="56"/>
      <c r="E44" s="80"/>
      <c r="F44" s="180"/>
      <c r="G44" s="158"/>
      <c r="H44" s="155"/>
    </row>
    <row r="45" spans="1:8" ht="17.45" customHeight="1">
      <c r="A45" s="165"/>
      <c r="B45" s="162"/>
      <c r="C45" s="55"/>
      <c r="D45" s="57"/>
      <c r="E45" s="55"/>
      <c r="F45" s="165"/>
      <c r="G45" s="159"/>
      <c r="H45" s="156"/>
    </row>
    <row r="46" spans="1:8" ht="17.45" customHeight="1">
      <c r="A46" s="165"/>
      <c r="B46" s="162"/>
      <c r="C46" s="55"/>
      <c r="D46" s="57"/>
      <c r="E46" s="55"/>
      <c r="F46" s="165"/>
      <c r="G46" s="159"/>
      <c r="H46" s="156"/>
    </row>
    <row r="47" spans="1:8" ht="17.45" customHeight="1">
      <c r="A47" s="165"/>
      <c r="B47" s="162"/>
      <c r="C47" s="55"/>
      <c r="D47" s="57"/>
      <c r="E47" s="55"/>
      <c r="F47" s="165"/>
      <c r="G47" s="159"/>
      <c r="H47" s="156"/>
    </row>
    <row r="48" spans="1:8" ht="17.45" customHeight="1">
      <c r="A48" s="165"/>
      <c r="B48" s="162"/>
      <c r="C48" s="55"/>
      <c r="D48" s="57"/>
      <c r="E48" s="55"/>
      <c r="F48" s="165"/>
      <c r="G48" s="159"/>
      <c r="H48" s="156"/>
    </row>
    <row r="49" spans="1:8" ht="17.45" customHeight="1">
      <c r="A49" s="165"/>
      <c r="B49" s="162"/>
      <c r="C49" s="55"/>
      <c r="D49" s="57"/>
      <c r="E49" s="55"/>
      <c r="F49" s="165"/>
      <c r="G49" s="159"/>
      <c r="H49" s="156"/>
    </row>
    <row r="50" spans="1:8" ht="17.45" customHeight="1">
      <c r="A50" s="165"/>
      <c r="B50" s="162"/>
      <c r="C50" s="55"/>
      <c r="D50" s="57"/>
      <c r="E50" s="55"/>
      <c r="F50" s="165"/>
      <c r="G50" s="159"/>
      <c r="H50" s="156"/>
    </row>
    <row r="51" spans="1:8" ht="18" customHeight="1" thickBot="1">
      <c r="A51" s="166"/>
      <c r="B51" s="163"/>
      <c r="C51" s="54"/>
      <c r="D51" s="58"/>
      <c r="E51" s="79"/>
      <c r="F51" s="166"/>
      <c r="G51" s="160"/>
      <c r="H51" s="157"/>
    </row>
    <row r="52" spans="1:8">
      <c r="A52" s="164"/>
      <c r="B52" s="161"/>
      <c r="C52" s="75"/>
      <c r="D52" s="76"/>
      <c r="E52" s="53"/>
      <c r="F52" s="153"/>
      <c r="G52" s="158"/>
      <c r="H52" s="155"/>
    </row>
    <row r="53" spans="1:8">
      <c r="A53" s="165"/>
      <c r="B53" s="162"/>
      <c r="C53" s="55"/>
      <c r="D53" s="57"/>
      <c r="E53" s="55"/>
      <c r="F53" s="153"/>
      <c r="G53" s="159"/>
      <c r="H53" s="156"/>
    </row>
    <row r="54" spans="1:8">
      <c r="A54" s="165"/>
      <c r="B54" s="162"/>
      <c r="C54" s="55"/>
      <c r="D54" s="57"/>
      <c r="E54" s="55"/>
      <c r="F54" s="153"/>
      <c r="G54" s="159"/>
      <c r="H54" s="156"/>
    </row>
    <row r="55" spans="1:8">
      <c r="A55" s="165"/>
      <c r="B55" s="162"/>
      <c r="C55" s="55"/>
      <c r="D55" s="57"/>
      <c r="E55" s="55"/>
      <c r="F55" s="153"/>
      <c r="G55" s="159"/>
      <c r="H55" s="156"/>
    </row>
    <row r="56" spans="1:8">
      <c r="A56" s="165"/>
      <c r="B56" s="162"/>
      <c r="C56" s="55"/>
      <c r="D56" s="57"/>
      <c r="E56" s="55"/>
      <c r="F56" s="153"/>
      <c r="G56" s="159"/>
      <c r="H56" s="156"/>
    </row>
    <row r="57" spans="1:8">
      <c r="A57" s="165"/>
      <c r="B57" s="162"/>
      <c r="C57" s="55"/>
      <c r="D57" s="57"/>
      <c r="E57" s="55"/>
      <c r="F57" s="153"/>
      <c r="G57" s="159"/>
      <c r="H57" s="156"/>
    </row>
    <row r="58" spans="1:8">
      <c r="A58" s="165"/>
      <c r="B58" s="162"/>
      <c r="C58" s="55"/>
      <c r="D58" s="57"/>
      <c r="E58" s="55"/>
      <c r="F58" s="153"/>
      <c r="G58" s="159"/>
      <c r="H58" s="156"/>
    </row>
    <row r="59" spans="1:8" ht="17.25" thickBot="1">
      <c r="A59" s="166"/>
      <c r="B59" s="163"/>
      <c r="C59" s="54"/>
      <c r="D59" s="58"/>
      <c r="E59" s="78"/>
      <c r="F59" s="154"/>
      <c r="G59" s="160"/>
      <c r="H59" s="157"/>
    </row>
    <row r="76" spans="1:8">
      <c r="A76" s="179"/>
      <c r="B76" s="179"/>
      <c r="F76" s="179"/>
      <c r="H76" s="179"/>
    </row>
    <row r="77" spans="1:8">
      <c r="A77" s="179"/>
      <c r="B77" s="179"/>
      <c r="F77" s="179"/>
      <c r="H77" s="179"/>
    </row>
    <row r="78" spans="1:8">
      <c r="A78" s="179"/>
      <c r="B78" s="179"/>
      <c r="F78" s="179"/>
      <c r="H78" s="179"/>
    </row>
    <row r="79" spans="1:8">
      <c r="A79" s="179"/>
      <c r="B79" s="179"/>
      <c r="F79" s="179"/>
      <c r="H79" s="179"/>
    </row>
    <row r="80" spans="1:8">
      <c r="A80" s="179"/>
      <c r="B80" s="179"/>
      <c r="F80" s="179"/>
      <c r="H80" s="179"/>
    </row>
    <row r="81" spans="1:8">
      <c r="A81" s="179"/>
      <c r="B81" s="179"/>
      <c r="F81" s="179"/>
      <c r="H81" s="179"/>
    </row>
    <row r="82" spans="1:8">
      <c r="A82" s="179"/>
      <c r="B82" s="179"/>
      <c r="F82" s="179"/>
      <c r="H82" s="179"/>
    </row>
    <row r="83" spans="1:8">
      <c r="A83" s="179"/>
      <c r="B83" s="179"/>
      <c r="F83" s="179"/>
      <c r="H83" s="179"/>
    </row>
    <row r="84" spans="1:8">
      <c r="A84" s="179"/>
      <c r="B84" s="179"/>
      <c r="F84" s="179"/>
      <c r="H84" s="179"/>
    </row>
    <row r="85" spans="1:8">
      <c r="A85" s="179"/>
      <c r="B85" s="179"/>
      <c r="F85" s="179"/>
      <c r="H85" s="179"/>
    </row>
    <row r="86" spans="1:8">
      <c r="A86" s="179"/>
      <c r="B86" s="179"/>
      <c r="F86" s="179"/>
      <c r="H86" s="179"/>
    </row>
    <row r="87" spans="1:8">
      <c r="A87" s="179"/>
      <c r="B87" s="179"/>
      <c r="F87" s="179"/>
      <c r="H87" s="179"/>
    </row>
    <row r="88" spans="1:8">
      <c r="A88" s="179"/>
      <c r="B88" s="179"/>
      <c r="F88" s="179"/>
      <c r="H88" s="179"/>
    </row>
    <row r="89" spans="1:8">
      <c r="A89" s="179"/>
      <c r="B89" s="179"/>
      <c r="F89" s="179"/>
      <c r="H89" s="179"/>
    </row>
    <row r="90" spans="1:8">
      <c r="A90" s="179"/>
      <c r="B90" s="179"/>
      <c r="F90" s="179"/>
      <c r="H90" s="179"/>
    </row>
    <row r="91" spans="1:8">
      <c r="A91" s="179"/>
      <c r="B91" s="179"/>
      <c r="F91" s="179"/>
      <c r="H91" s="179"/>
    </row>
    <row r="92" spans="1:8">
      <c r="A92" s="179"/>
      <c r="B92" s="179"/>
      <c r="F92" s="179"/>
      <c r="H92" s="179"/>
    </row>
    <row r="93" spans="1:8">
      <c r="A93" s="179"/>
      <c r="B93" s="179"/>
      <c r="F93" s="179"/>
      <c r="H93" s="179"/>
    </row>
    <row r="94" spans="1:8">
      <c r="A94" s="179"/>
      <c r="B94" s="179"/>
      <c r="F94" s="179"/>
      <c r="H94" s="179"/>
    </row>
    <row r="95" spans="1:8">
      <c r="A95" s="179"/>
      <c r="B95" s="179"/>
      <c r="F95" s="179"/>
      <c r="H95" s="179"/>
    </row>
    <row r="96" spans="1:8">
      <c r="A96" s="179"/>
      <c r="B96" s="179"/>
      <c r="F96" s="179"/>
      <c r="H96" s="179"/>
    </row>
    <row r="97" spans="1:8">
      <c r="A97" s="179"/>
      <c r="B97" s="179"/>
      <c r="F97" s="179"/>
      <c r="H97" s="179"/>
    </row>
    <row r="98" spans="1:8">
      <c r="A98" s="179"/>
      <c r="B98" s="179"/>
      <c r="F98" s="179"/>
      <c r="H98" s="179"/>
    </row>
    <row r="99" spans="1:8">
      <c r="A99" s="179"/>
      <c r="B99" s="179"/>
      <c r="F99" s="179"/>
      <c r="H99" s="179"/>
    </row>
    <row r="108" spans="1:8">
      <c r="A108" s="179"/>
      <c r="F108" s="179"/>
      <c r="H108" s="179"/>
    </row>
    <row r="109" spans="1:8">
      <c r="A109" s="179"/>
      <c r="F109" s="179"/>
      <c r="H109" s="179"/>
    </row>
    <row r="110" spans="1:8">
      <c r="A110" s="179"/>
      <c r="F110" s="179"/>
      <c r="H110" s="179"/>
    </row>
    <row r="111" spans="1:8">
      <c r="A111" s="179"/>
      <c r="F111" s="179"/>
      <c r="H111" s="179"/>
    </row>
    <row r="112" spans="1:8">
      <c r="A112" s="179"/>
      <c r="F112" s="179"/>
      <c r="H112" s="179"/>
    </row>
    <row r="113" spans="1:8">
      <c r="A113" s="179"/>
      <c r="F113" s="179"/>
      <c r="H113" s="179"/>
    </row>
    <row r="114" spans="1:8">
      <c r="A114" s="179"/>
      <c r="F114" s="179"/>
      <c r="H114" s="179"/>
    </row>
    <row r="115" spans="1:8">
      <c r="A115" s="179"/>
      <c r="F115" s="179"/>
      <c r="H115" s="179"/>
    </row>
    <row r="116" spans="1:8">
      <c r="A116" s="179"/>
      <c r="B116" s="179"/>
      <c r="F116" s="179"/>
      <c r="H116" s="179"/>
    </row>
    <row r="117" spans="1:8">
      <c r="A117" s="179"/>
      <c r="B117" s="179"/>
      <c r="F117" s="179"/>
      <c r="H117" s="179"/>
    </row>
    <row r="118" spans="1:8">
      <c r="A118" s="179"/>
      <c r="B118" s="179"/>
      <c r="F118" s="179"/>
      <c r="H118" s="179"/>
    </row>
    <row r="119" spans="1:8">
      <c r="A119" s="179"/>
      <c r="B119" s="179"/>
      <c r="F119" s="179"/>
      <c r="H119" s="179"/>
    </row>
    <row r="120" spans="1:8">
      <c r="A120" s="179"/>
      <c r="B120" s="179"/>
      <c r="F120" s="179"/>
      <c r="H120" s="179"/>
    </row>
    <row r="121" spans="1:8">
      <c r="A121" s="179"/>
      <c r="B121" s="179"/>
      <c r="F121" s="179"/>
      <c r="H121" s="179"/>
    </row>
    <row r="122" spans="1:8">
      <c r="A122" s="179"/>
      <c r="B122" s="179"/>
      <c r="F122" s="179"/>
      <c r="H122" s="179"/>
    </row>
    <row r="123" spans="1:8">
      <c r="A123" s="179"/>
      <c r="B123" s="179"/>
      <c r="F123" s="179"/>
      <c r="H123" s="179"/>
    </row>
    <row r="124" spans="1:8">
      <c r="A124" s="179"/>
      <c r="B124" s="179"/>
      <c r="F124" s="179"/>
      <c r="H124" s="179"/>
    </row>
    <row r="125" spans="1:8">
      <c r="A125" s="179"/>
      <c r="B125" s="179"/>
      <c r="F125" s="179"/>
      <c r="H125" s="179"/>
    </row>
    <row r="126" spans="1:8">
      <c r="A126" s="179"/>
      <c r="B126" s="179"/>
      <c r="F126" s="179"/>
      <c r="H126" s="179"/>
    </row>
    <row r="127" spans="1:8">
      <c r="A127" s="179"/>
      <c r="B127" s="179"/>
      <c r="F127" s="179"/>
      <c r="H127" s="179"/>
    </row>
    <row r="128" spans="1:8">
      <c r="A128" s="179"/>
      <c r="B128" s="179"/>
      <c r="F128" s="179"/>
      <c r="H128" s="179"/>
    </row>
    <row r="129" spans="1:8">
      <c r="A129" s="179"/>
      <c r="B129" s="179"/>
      <c r="F129" s="179"/>
      <c r="H129" s="179"/>
    </row>
    <row r="130" spans="1:8">
      <c r="A130" s="179"/>
      <c r="B130" s="179"/>
      <c r="F130" s="179"/>
      <c r="H130" s="179"/>
    </row>
    <row r="131" spans="1:8">
      <c r="A131" s="179"/>
      <c r="B131" s="179"/>
      <c r="F131" s="179"/>
      <c r="H131" s="179"/>
    </row>
    <row r="132" spans="1:8">
      <c r="A132" s="179"/>
      <c r="B132" s="179"/>
      <c r="F132" s="179"/>
      <c r="H132" s="179"/>
    </row>
    <row r="133" spans="1:8">
      <c r="A133" s="179"/>
      <c r="B133" s="179"/>
      <c r="F133" s="179"/>
      <c r="H133" s="179"/>
    </row>
    <row r="134" spans="1:8">
      <c r="A134" s="179"/>
      <c r="B134" s="179"/>
      <c r="F134" s="179"/>
      <c r="H134" s="179"/>
    </row>
    <row r="135" spans="1:8">
      <c r="A135" s="179"/>
      <c r="B135" s="179"/>
      <c r="F135" s="179"/>
      <c r="H135" s="179"/>
    </row>
    <row r="136" spans="1:8">
      <c r="A136" s="179"/>
      <c r="B136" s="179"/>
      <c r="F136" s="179"/>
      <c r="H136" s="179"/>
    </row>
    <row r="137" spans="1:8">
      <c r="A137" s="179"/>
      <c r="B137" s="179"/>
      <c r="F137" s="179"/>
      <c r="H137" s="179"/>
    </row>
    <row r="138" spans="1:8">
      <c r="A138" s="179"/>
      <c r="B138" s="179"/>
      <c r="F138" s="179"/>
      <c r="H138" s="179"/>
    </row>
    <row r="139" spans="1:8">
      <c r="A139" s="179"/>
      <c r="B139" s="179"/>
      <c r="F139" s="179"/>
      <c r="H139" s="179"/>
    </row>
  </sheetData>
  <mergeCells count="71">
    <mergeCell ref="H44:H51"/>
    <mergeCell ref="F44:F51"/>
    <mergeCell ref="G44:G51"/>
    <mergeCell ref="B44:B51"/>
    <mergeCell ref="A44:A51"/>
    <mergeCell ref="B76:B83"/>
    <mergeCell ref="F124:F131"/>
    <mergeCell ref="F132:F139"/>
    <mergeCell ref="F108:F115"/>
    <mergeCell ref="F116:F123"/>
    <mergeCell ref="F92:F99"/>
    <mergeCell ref="B124:B131"/>
    <mergeCell ref="B132:B139"/>
    <mergeCell ref="B116:B123"/>
    <mergeCell ref="B92:B99"/>
    <mergeCell ref="B84:B91"/>
    <mergeCell ref="A84:A91"/>
    <mergeCell ref="A76:A83"/>
    <mergeCell ref="H124:H131"/>
    <mergeCell ref="H132:H139"/>
    <mergeCell ref="H108:H115"/>
    <mergeCell ref="H116:H123"/>
    <mergeCell ref="H92:H99"/>
    <mergeCell ref="H84:H91"/>
    <mergeCell ref="H76:H83"/>
    <mergeCell ref="A124:A131"/>
    <mergeCell ref="A132:A139"/>
    <mergeCell ref="A108:A115"/>
    <mergeCell ref="A116:A123"/>
    <mergeCell ref="A92:A99"/>
    <mergeCell ref="F84:F91"/>
    <mergeCell ref="F76:F83"/>
    <mergeCell ref="A20:A27"/>
    <mergeCell ref="A28:A35"/>
    <mergeCell ref="A36:A43"/>
    <mergeCell ref="B20:B27"/>
    <mergeCell ref="B28:B35"/>
    <mergeCell ref="B36:B43"/>
    <mergeCell ref="H20:H27"/>
    <mergeCell ref="H28:H35"/>
    <mergeCell ref="H36:H43"/>
    <mergeCell ref="F20:F27"/>
    <mergeCell ref="F28:F35"/>
    <mergeCell ref="F36:F43"/>
    <mergeCell ref="G20:G27"/>
    <mergeCell ref="G28:G35"/>
    <mergeCell ref="G36:G43"/>
    <mergeCell ref="A1:H1"/>
    <mergeCell ref="H2:H3"/>
    <mergeCell ref="A2:A3"/>
    <mergeCell ref="B2:B3"/>
    <mergeCell ref="C2:C3"/>
    <mergeCell ref="D2:D3"/>
    <mergeCell ref="E2:E3"/>
    <mergeCell ref="F2:F3"/>
    <mergeCell ref="G2:G3"/>
    <mergeCell ref="H4:H11"/>
    <mergeCell ref="H12:H19"/>
    <mergeCell ref="A4:A11"/>
    <mergeCell ref="A12:A19"/>
    <mergeCell ref="B4:B11"/>
    <mergeCell ref="B12:B19"/>
    <mergeCell ref="G4:G11"/>
    <mergeCell ref="G12:G19"/>
    <mergeCell ref="F4:F11"/>
    <mergeCell ref="F12:F19"/>
    <mergeCell ref="F52:F59"/>
    <mergeCell ref="H52:H59"/>
    <mergeCell ref="G52:G59"/>
    <mergeCell ref="B52:B59"/>
    <mergeCell ref="A52:A59"/>
  </mergeCells>
  <phoneticPr fontId="4" type="noConversion"/>
  <conditionalFormatting sqref="F4:F10">
    <cfRule type="duplicateValues" dxfId="20" priority="5"/>
    <cfRule type="duplicateValues" dxfId="19" priority="6"/>
  </conditionalFormatting>
  <conditionalFormatting sqref="F4:F11">
    <cfRule type="duplicateValues" dxfId="18" priority="4"/>
  </conditionalFormatting>
  <conditionalFormatting sqref="F12:F18">
    <cfRule type="duplicateValues" dxfId="17" priority="2"/>
    <cfRule type="duplicateValues" dxfId="16" priority="3"/>
  </conditionalFormatting>
  <conditionalFormatting sqref="F12:F19">
    <cfRule type="duplicateValues" dxfId="15" priority="1"/>
  </conditionalFormatting>
  <conditionalFormatting sqref="F20:F26">
    <cfRule type="duplicateValues" dxfId="14" priority="20"/>
    <cfRule type="duplicateValues" dxfId="13" priority="21"/>
  </conditionalFormatting>
  <conditionalFormatting sqref="F20:F27">
    <cfRule type="duplicateValues" dxfId="12" priority="19"/>
  </conditionalFormatting>
  <conditionalFormatting sqref="F28:F34">
    <cfRule type="duplicateValues" dxfId="11" priority="17"/>
    <cfRule type="duplicateValues" dxfId="10" priority="18"/>
  </conditionalFormatting>
  <conditionalFormatting sqref="F28:F35">
    <cfRule type="duplicateValues" dxfId="9" priority="16"/>
  </conditionalFormatting>
  <conditionalFormatting sqref="F36:F42">
    <cfRule type="duplicateValues" dxfId="8" priority="14"/>
    <cfRule type="duplicateValues" dxfId="7" priority="15"/>
  </conditionalFormatting>
  <conditionalFormatting sqref="F36:F43">
    <cfRule type="duplicateValues" dxfId="6" priority="13"/>
  </conditionalFormatting>
  <conditionalFormatting sqref="F44:F50">
    <cfRule type="duplicateValues" dxfId="5" priority="11"/>
    <cfRule type="duplicateValues" dxfId="4" priority="12"/>
  </conditionalFormatting>
  <conditionalFormatting sqref="F44:F51">
    <cfRule type="duplicateValues" dxfId="3" priority="10"/>
  </conditionalFormatting>
  <conditionalFormatting sqref="F52">
    <cfRule type="duplicateValues" dxfId="2" priority="8"/>
    <cfRule type="duplicateValues" dxfId="1" priority="9"/>
  </conditionalFormatting>
  <conditionalFormatting sqref="F52:F59">
    <cfRule type="duplicateValues" dxfId="0" priority="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42BD-A50E-4EBC-9269-300238119172}">
  <sheetPr codeName="Sheet3">
    <pageSetUpPr fitToPage="1"/>
  </sheetPr>
  <dimension ref="A1:AN32"/>
  <sheetViews>
    <sheetView showGridLines="0" tabSelected="1" view="pageBreakPreview" zoomScale="70" zoomScaleNormal="70" zoomScaleSheetLayoutView="70" zoomScalePageLayoutView="55" workbookViewId="0">
      <selection activeCell="AG9" sqref="AG9"/>
    </sheetView>
  </sheetViews>
  <sheetFormatPr defaultColWidth="4" defaultRowHeight="13.5" customHeight="1"/>
  <cols>
    <col min="1" max="1" width="4" style="1" customWidth="1"/>
    <col min="2" max="2" width="2.125" style="1" customWidth="1"/>
    <col min="3" max="3" width="4.875" style="1" customWidth="1"/>
    <col min="4" max="4" width="5.5" style="1" customWidth="1"/>
    <col min="5" max="5" width="10.5" style="1" customWidth="1"/>
    <col min="6" max="6" width="2" style="1" customWidth="1"/>
    <col min="7" max="7" width="2.5" style="1" customWidth="1"/>
    <col min="8" max="9" width="13.75" style="1" customWidth="1"/>
    <col min="10" max="10" width="8.875" style="1" customWidth="1"/>
    <col min="11" max="11" width="8.5" style="1" customWidth="1"/>
    <col min="12" max="12" width="6.75" style="8" customWidth="1"/>
    <col min="13" max="13" width="6.125" style="4" customWidth="1"/>
    <col min="14" max="15" width="2.625" style="4" customWidth="1"/>
    <col min="16" max="16" width="6.375" style="4" customWidth="1"/>
    <col min="17" max="17" width="16.25" style="4" bestFit="1" customWidth="1"/>
    <col min="18" max="20" width="4.125" style="4" customWidth="1"/>
    <col min="21" max="21" width="3.5" style="4" customWidth="1"/>
    <col min="22" max="24" width="2.625" style="4" customWidth="1"/>
    <col min="25" max="25" width="7.625" style="4" customWidth="1"/>
    <col min="26" max="26" width="20.875" style="4" bestFit="1" customWidth="1"/>
    <col min="27" max="29" width="5.75" style="1" customWidth="1"/>
    <col min="30" max="30" width="14.125" style="1" customWidth="1"/>
    <col min="31" max="31" width="22.5" style="1" customWidth="1"/>
    <col min="32" max="32" width="14.125" style="1" customWidth="1"/>
    <col min="33" max="33" width="13.75" style="1" bestFit="1" customWidth="1"/>
    <col min="34" max="35" width="14.125" style="1" customWidth="1"/>
    <col min="36" max="36" width="26.25" style="1" customWidth="1"/>
    <col min="37" max="40" width="22.5" style="1" customWidth="1"/>
    <col min="41" max="42" width="10.5" style="1" customWidth="1"/>
    <col min="43" max="16384" width="4" style="1"/>
  </cols>
  <sheetData>
    <row r="1" spans="1:39" ht="23.25" customHeight="1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</row>
    <row r="2" spans="1:39" ht="16.5" customHeight="1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</row>
    <row r="3" spans="1:39" ht="15" customHeight="1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</row>
    <row r="4" spans="1:39" ht="15" customHeight="1">
      <c r="B4" s="2"/>
      <c r="C4" s="3"/>
      <c r="D4" s="3"/>
      <c r="E4" s="3"/>
      <c r="F4" s="3"/>
      <c r="G4" s="3"/>
      <c r="H4" s="3"/>
      <c r="I4" s="3"/>
      <c r="L4" s="1"/>
    </row>
    <row r="5" spans="1:39" ht="31.5" customHeight="1">
      <c r="A5" s="151" t="s">
        <v>20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</row>
    <row r="6" spans="1:39" ht="24.75" customHeight="1">
      <c r="J6" s="5"/>
      <c r="K6" s="6"/>
      <c r="L6" s="6"/>
      <c r="O6" s="152" t="s">
        <v>21</v>
      </c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</row>
    <row r="7" spans="1:39" ht="31.9" customHeight="1" thickBot="1">
      <c r="A7" s="144" t="s">
        <v>63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P7" s="25"/>
      <c r="Q7" s="25"/>
      <c r="R7" s="25"/>
      <c r="S7" s="25"/>
      <c r="T7" s="25"/>
      <c r="U7" s="25"/>
      <c r="V7" s="23"/>
      <c r="W7" s="22" t="s">
        <v>22</v>
      </c>
      <c r="X7" s="23"/>
      <c r="Y7" s="23"/>
      <c r="Z7" s="62"/>
      <c r="AA7" s="146" t="s">
        <v>23</v>
      </c>
      <c r="AB7" s="146"/>
      <c r="AC7" s="146"/>
      <c r="AD7" s="146"/>
    </row>
    <row r="8" spans="1:39" ht="31.9" customHeight="1" thickTop="1">
      <c r="A8" s="145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P8" s="26"/>
      <c r="Q8" s="26"/>
      <c r="R8" s="26"/>
      <c r="S8" s="26"/>
      <c r="T8" s="26"/>
      <c r="U8" s="26"/>
      <c r="V8" s="24"/>
      <c r="W8" s="24" t="s">
        <v>24</v>
      </c>
      <c r="X8" s="24"/>
      <c r="Y8" s="24"/>
      <c r="Z8" s="63"/>
      <c r="AA8" s="147" t="s">
        <v>97</v>
      </c>
      <c r="AB8" s="147"/>
      <c r="AC8" s="147"/>
      <c r="AD8" s="147"/>
    </row>
    <row r="9" spans="1:39" ht="31.9" customHeight="1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"/>
      <c r="N9" s="1"/>
      <c r="P9" s="26"/>
      <c r="Q9" s="26"/>
      <c r="R9" s="26"/>
      <c r="S9" s="26"/>
      <c r="T9" s="26"/>
      <c r="U9" s="26"/>
      <c r="V9" s="24"/>
      <c r="W9" s="24" t="s">
        <v>25</v>
      </c>
      <c r="X9" s="24"/>
      <c r="Y9" s="24"/>
      <c r="Z9" s="64"/>
      <c r="AA9" s="148">
        <f ca="1">TODAY()</f>
        <v>46181</v>
      </c>
      <c r="AB9" s="148"/>
      <c r="AC9" s="148"/>
      <c r="AD9" s="148"/>
    </row>
    <row r="10" spans="1:39" ht="5.25" customHeight="1">
      <c r="J10" s="7"/>
    </row>
    <row r="11" spans="1:39" s="9" customFormat="1" ht="11.25" customHeight="1" thickBot="1">
      <c r="C11" s="6"/>
      <c r="D11" s="6"/>
      <c r="E11" s="6"/>
      <c r="F11" s="6"/>
      <c r="G11" s="6"/>
      <c r="J11" s="10"/>
      <c r="L11" s="2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39" s="12" customFormat="1" ht="18" customHeight="1">
      <c r="A12" s="138" t="s">
        <v>26</v>
      </c>
      <c r="B12" s="139"/>
      <c r="C12" s="139"/>
      <c r="D12" s="139"/>
      <c r="E12" s="140"/>
      <c r="F12" s="141" t="s">
        <v>27</v>
      </c>
      <c r="G12" s="142"/>
      <c r="H12" s="142"/>
      <c r="I12" s="142"/>
      <c r="J12" s="142"/>
      <c r="K12" s="142"/>
      <c r="L12" s="142"/>
      <c r="M12" s="143"/>
      <c r="N12" s="138" t="s">
        <v>28</v>
      </c>
      <c r="O12" s="139"/>
      <c r="P12" s="139"/>
      <c r="Q12" s="139"/>
      <c r="R12" s="139"/>
      <c r="S12" s="139"/>
      <c r="T12" s="139"/>
      <c r="U12" s="139"/>
      <c r="V12" s="140"/>
      <c r="W12" s="39" t="s">
        <v>29</v>
      </c>
      <c r="X12" s="33"/>
      <c r="Y12" s="33"/>
      <c r="Z12" s="33"/>
      <c r="AA12" s="33"/>
      <c r="AB12" s="33"/>
      <c r="AC12" s="33"/>
      <c r="AD12" s="34"/>
    </row>
    <row r="13" spans="1:39" s="13" customFormat="1" ht="18" customHeight="1">
      <c r="A13" s="126" t="s">
        <v>30</v>
      </c>
      <c r="B13" s="127"/>
      <c r="C13" s="127"/>
      <c r="D13" s="127"/>
      <c r="E13" s="128"/>
      <c r="F13" s="129" t="s">
        <v>31</v>
      </c>
      <c r="G13" s="130"/>
      <c r="H13" s="130"/>
      <c r="I13" s="130"/>
      <c r="J13" s="130"/>
      <c r="K13" s="130"/>
      <c r="L13" s="130"/>
      <c r="M13" s="131"/>
      <c r="N13" s="126" t="s">
        <v>32</v>
      </c>
      <c r="O13" s="127"/>
      <c r="P13" s="127"/>
      <c r="Q13" s="127"/>
      <c r="R13" s="127"/>
      <c r="S13" s="127"/>
      <c r="T13" s="127"/>
      <c r="U13" s="127"/>
      <c r="V13" s="128"/>
      <c r="W13" s="40" t="s">
        <v>33</v>
      </c>
      <c r="X13" s="35"/>
      <c r="Y13" s="35"/>
      <c r="Z13" s="35"/>
      <c r="AA13" s="35"/>
      <c r="AB13" s="35"/>
      <c r="AC13" s="35"/>
      <c r="AD13" s="36"/>
    </row>
    <row r="14" spans="1:39" s="13" customFormat="1" ht="18" customHeight="1">
      <c r="A14" s="126" t="s">
        <v>34</v>
      </c>
      <c r="B14" s="127"/>
      <c r="C14" s="127"/>
      <c r="D14" s="127"/>
      <c r="E14" s="128"/>
      <c r="F14" s="129" t="s">
        <v>35</v>
      </c>
      <c r="G14" s="130"/>
      <c r="H14" s="130"/>
      <c r="I14" s="130"/>
      <c r="J14" s="130"/>
      <c r="K14" s="130"/>
      <c r="L14" s="130"/>
      <c r="M14" s="131"/>
      <c r="N14" s="126" t="s">
        <v>36</v>
      </c>
      <c r="O14" s="127"/>
      <c r="P14" s="127"/>
      <c r="Q14" s="127"/>
      <c r="R14" s="127"/>
      <c r="S14" s="127"/>
      <c r="T14" s="127"/>
      <c r="U14" s="127"/>
      <c r="V14" s="128"/>
      <c r="W14" s="40" t="s">
        <v>37</v>
      </c>
      <c r="X14" s="35"/>
      <c r="Y14" s="35"/>
      <c r="Z14" s="35"/>
      <c r="AA14" s="35"/>
      <c r="AB14" s="35"/>
      <c r="AC14" s="35"/>
      <c r="AD14" s="36"/>
      <c r="AF14" s="17" t="s">
        <v>38</v>
      </c>
      <c r="AG14" s="17" t="s">
        <v>39</v>
      </c>
      <c r="AH14" s="17"/>
      <c r="AI14" s="17"/>
      <c r="AJ14" s="17"/>
      <c r="AK14" s="17"/>
    </row>
    <row r="15" spans="1:39" s="13" customFormat="1" ht="18.75" customHeight="1" thickBot="1">
      <c r="A15" s="132" t="s">
        <v>40</v>
      </c>
      <c r="B15" s="133"/>
      <c r="C15" s="133"/>
      <c r="D15" s="133"/>
      <c r="E15" s="134"/>
      <c r="F15" s="135" t="s">
        <v>41</v>
      </c>
      <c r="G15" s="136"/>
      <c r="H15" s="136"/>
      <c r="I15" s="136"/>
      <c r="J15" s="136"/>
      <c r="K15" s="136"/>
      <c r="L15" s="136"/>
      <c r="M15" s="137"/>
      <c r="N15" s="132" t="s">
        <v>42</v>
      </c>
      <c r="O15" s="133"/>
      <c r="P15" s="133"/>
      <c r="Q15" s="133"/>
      <c r="R15" s="133"/>
      <c r="S15" s="133"/>
      <c r="T15" s="133"/>
      <c r="U15" s="133"/>
      <c r="V15" s="134"/>
      <c r="W15" s="41" t="s">
        <v>43</v>
      </c>
      <c r="X15" s="37"/>
      <c r="Y15" s="37"/>
      <c r="Z15" s="37"/>
      <c r="AA15" s="37"/>
      <c r="AB15" s="37"/>
      <c r="AC15" s="37"/>
      <c r="AD15" s="38"/>
      <c r="AF15" s="27">
        <v>261</v>
      </c>
      <c r="AG15" s="27">
        <v>225</v>
      </c>
      <c r="AH15" s="27"/>
      <c r="AI15" s="27"/>
      <c r="AJ15" s="27"/>
      <c r="AK15" s="27"/>
      <c r="AM15" s="42">
        <f>AG15*2</f>
        <v>450</v>
      </c>
    </row>
    <row r="16" spans="1:39" s="30" customFormat="1" ht="49.9" customHeight="1" thickBot="1">
      <c r="A16" s="28" t="s">
        <v>44</v>
      </c>
      <c r="B16" s="28"/>
      <c r="C16" s="28"/>
      <c r="D16" s="28"/>
      <c r="E16" s="28"/>
      <c r="F16" s="29"/>
      <c r="G16" s="29"/>
      <c r="H16" s="29"/>
      <c r="I16" s="29"/>
      <c r="J16" s="29"/>
      <c r="L16" s="31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 t="s">
        <v>45</v>
      </c>
      <c r="AL16" s="46">
        <f>AG15*1</f>
        <v>225</v>
      </c>
    </row>
    <row r="17" spans="1:40" s="13" customFormat="1" ht="15.75" customHeight="1" thickBot="1">
      <c r="A17" s="14"/>
      <c r="B17" s="14"/>
      <c r="C17" s="14"/>
      <c r="D17" s="14"/>
      <c r="E17" s="14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66"/>
      <c r="AA17" s="117"/>
      <c r="AB17" s="117"/>
      <c r="AC17" s="117"/>
      <c r="AD17" s="117"/>
      <c r="AF17" s="13" t="s">
        <v>46</v>
      </c>
    </row>
    <row r="18" spans="1:40" s="16" customFormat="1" ht="51.75">
      <c r="A18" s="118" t="s">
        <v>47</v>
      </c>
      <c r="B18" s="119"/>
      <c r="C18" s="120"/>
      <c r="D18" s="121" t="s">
        <v>48</v>
      </c>
      <c r="E18" s="119"/>
      <c r="F18" s="119"/>
      <c r="G18" s="120"/>
      <c r="H18" s="121" t="s">
        <v>49</v>
      </c>
      <c r="I18" s="119"/>
      <c r="J18" s="119"/>
      <c r="K18" s="120"/>
      <c r="L18" s="70" t="s">
        <v>50</v>
      </c>
      <c r="M18" s="122" t="s">
        <v>65</v>
      </c>
      <c r="N18" s="123"/>
      <c r="O18" s="123"/>
      <c r="P18" s="124"/>
      <c r="Q18" s="48" t="s">
        <v>51</v>
      </c>
      <c r="R18" s="122" t="s">
        <v>52</v>
      </c>
      <c r="S18" s="123"/>
      <c r="T18" s="123"/>
      <c r="U18" s="124"/>
      <c r="V18" s="122" t="s">
        <v>53</v>
      </c>
      <c r="W18" s="123"/>
      <c r="X18" s="123"/>
      <c r="Y18" s="124"/>
      <c r="Z18" s="65" t="s">
        <v>54</v>
      </c>
      <c r="AA18" s="119" t="s">
        <v>55</v>
      </c>
      <c r="AB18" s="119"/>
      <c r="AC18" s="119"/>
      <c r="AD18" s="125"/>
      <c r="AF18" s="16">
        <v>1511.26</v>
      </c>
      <c r="AH18" s="16">
        <v>1434</v>
      </c>
      <c r="AJ18" s="16">
        <f>81.82/8</f>
        <v>10.227499999999999</v>
      </c>
    </row>
    <row r="19" spans="1:40" s="16" customFormat="1" ht="52.15" customHeight="1">
      <c r="A19" s="114" t="s">
        <v>96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6"/>
      <c r="AE19" s="68"/>
      <c r="AF19" s="69"/>
      <c r="AG19" s="61" t="s">
        <v>56</v>
      </c>
      <c r="AH19" s="44" t="s">
        <v>8</v>
      </c>
      <c r="AI19" s="49" t="s">
        <v>6</v>
      </c>
      <c r="AJ19" s="59"/>
      <c r="AL19" s="18"/>
    </row>
    <row r="20" spans="1:40" s="19" customFormat="1" ht="49.5" customHeight="1">
      <c r="A20" s="97">
        <v>1</v>
      </c>
      <c r="B20" s="98"/>
      <c r="C20" s="98"/>
      <c r="D20" s="99" t="s">
        <v>3</v>
      </c>
      <c r="E20" s="100"/>
      <c r="F20" s="100"/>
      <c r="G20" s="101"/>
      <c r="H20" s="99" t="s">
        <v>4</v>
      </c>
      <c r="I20" s="100"/>
      <c r="J20" s="100"/>
      <c r="K20" s="101"/>
      <c r="L20" s="20">
        <v>1</v>
      </c>
      <c r="M20" s="106"/>
      <c r="N20" s="106"/>
      <c r="O20" s="106"/>
      <c r="P20" s="106"/>
      <c r="Q20" s="71"/>
      <c r="R20" s="111"/>
      <c r="S20" s="111"/>
      <c r="T20" s="111"/>
      <c r="U20" s="111"/>
      <c r="V20" s="111"/>
      <c r="W20" s="111"/>
      <c r="X20" s="111"/>
      <c r="Y20" s="111"/>
      <c r="Z20" s="73"/>
      <c r="AA20" s="95"/>
      <c r="AB20" s="95"/>
      <c r="AC20" s="95"/>
      <c r="AD20" s="96"/>
      <c r="AE20" s="18" t="s">
        <v>57</v>
      </c>
      <c r="AF20" s="43" t="s">
        <v>3</v>
      </c>
      <c r="AG20" s="60">
        <v>7441.11</v>
      </c>
      <c r="AH20" s="50">
        <v>143295</v>
      </c>
      <c r="AI20" s="51">
        <v>239.34</v>
      </c>
      <c r="AJ20" s="51">
        <v>239.34</v>
      </c>
      <c r="AL20" s="18"/>
      <c r="AM20" s="18"/>
      <c r="AN20" s="18"/>
    </row>
    <row r="21" spans="1:40" s="19" customFormat="1" ht="49.5" customHeight="1">
      <c r="A21" s="97"/>
      <c r="B21" s="98"/>
      <c r="C21" s="98"/>
      <c r="D21" s="99"/>
      <c r="E21" s="100"/>
      <c r="F21" s="100"/>
      <c r="G21" s="101"/>
      <c r="H21" s="99"/>
      <c r="I21" s="100"/>
      <c r="J21" s="100"/>
      <c r="K21" s="101"/>
      <c r="L21" s="20"/>
      <c r="M21" s="106"/>
      <c r="N21" s="106"/>
      <c r="O21" s="106"/>
      <c r="P21" s="106"/>
      <c r="Q21" s="71"/>
      <c r="R21" s="111"/>
      <c r="S21" s="111"/>
      <c r="T21" s="111"/>
      <c r="U21" s="111"/>
      <c r="V21" s="111"/>
      <c r="W21" s="111"/>
      <c r="X21" s="111"/>
      <c r="Y21" s="111"/>
      <c r="Z21" s="73"/>
      <c r="AA21" s="95"/>
      <c r="AB21" s="95"/>
      <c r="AC21" s="95"/>
      <c r="AD21" s="96"/>
      <c r="AE21" s="18" t="s">
        <v>57</v>
      </c>
      <c r="AF21" s="43" t="s">
        <v>1</v>
      </c>
      <c r="AG21" s="18">
        <v>3396.05</v>
      </c>
      <c r="AH21" s="50">
        <v>117422</v>
      </c>
      <c r="AI21" s="51">
        <v>174.23</v>
      </c>
      <c r="AJ21" s="52">
        <v>219</v>
      </c>
      <c r="AK21" s="60"/>
      <c r="AL21" s="18"/>
      <c r="AM21" s="18"/>
      <c r="AN21" s="18"/>
    </row>
    <row r="22" spans="1:40" s="19" customFormat="1" ht="49.5" customHeight="1">
      <c r="A22" s="97"/>
      <c r="B22" s="98"/>
      <c r="C22" s="98"/>
      <c r="D22" s="99"/>
      <c r="E22" s="100"/>
      <c r="F22" s="100"/>
      <c r="G22" s="101"/>
      <c r="H22" s="99"/>
      <c r="I22" s="100"/>
      <c r="J22" s="100"/>
      <c r="K22" s="101"/>
      <c r="L22" s="20"/>
      <c r="M22" s="106"/>
      <c r="N22" s="106"/>
      <c r="O22" s="106"/>
      <c r="P22" s="106"/>
      <c r="Q22" s="71"/>
      <c r="R22" s="111"/>
      <c r="S22" s="111"/>
      <c r="T22" s="111"/>
      <c r="U22" s="111"/>
      <c r="V22" s="111"/>
      <c r="W22" s="111"/>
      <c r="X22" s="111"/>
      <c r="Y22" s="111"/>
      <c r="Z22" s="73"/>
      <c r="AA22" s="95"/>
      <c r="AB22" s="95"/>
      <c r="AC22" s="95"/>
      <c r="AD22" s="96"/>
      <c r="AE22" s="18" t="s">
        <v>57</v>
      </c>
      <c r="AF22" s="43" t="s">
        <v>2</v>
      </c>
      <c r="AG22" s="18">
        <v>2810.44</v>
      </c>
      <c r="AH22" s="50">
        <v>97397</v>
      </c>
      <c r="AI22" s="52">
        <v>219</v>
      </c>
      <c r="AJ22" s="52">
        <v>174.2294976076555</v>
      </c>
      <c r="AK22" s="60"/>
      <c r="AL22" s="18"/>
      <c r="AM22" s="18"/>
      <c r="AN22" s="18"/>
    </row>
    <row r="23" spans="1:40" s="19" customFormat="1" ht="52.15" customHeight="1">
      <c r="A23" s="97"/>
      <c r="B23" s="98"/>
      <c r="C23" s="98"/>
      <c r="D23" s="99"/>
      <c r="E23" s="100"/>
      <c r="F23" s="100"/>
      <c r="G23" s="101"/>
      <c r="H23" s="99"/>
      <c r="I23" s="100"/>
      <c r="J23" s="100"/>
      <c r="K23" s="101"/>
      <c r="L23" s="20"/>
      <c r="M23" s="106"/>
      <c r="N23" s="106"/>
      <c r="O23" s="106"/>
      <c r="P23" s="106"/>
      <c r="Q23" s="71"/>
      <c r="R23" s="111"/>
      <c r="S23" s="111"/>
      <c r="T23" s="111"/>
      <c r="U23" s="111"/>
      <c r="V23" s="111"/>
      <c r="W23" s="111"/>
      <c r="X23" s="111"/>
      <c r="Y23" s="111"/>
      <c r="Z23" s="73"/>
      <c r="AA23" s="95"/>
      <c r="AB23" s="95"/>
      <c r="AC23" s="95"/>
      <c r="AD23" s="96"/>
      <c r="AE23" s="18" t="s">
        <v>57</v>
      </c>
      <c r="AF23" s="43" t="s">
        <v>0</v>
      </c>
      <c r="AG23" s="18">
        <v>4014.53</v>
      </c>
      <c r="AH23" s="50">
        <v>143758</v>
      </c>
      <c r="AI23" s="52">
        <v>219</v>
      </c>
      <c r="AJ23" s="52">
        <v>219</v>
      </c>
      <c r="AK23" s="60"/>
      <c r="AL23" s="18"/>
      <c r="AM23" s="18"/>
      <c r="AN23" s="18"/>
    </row>
    <row r="24" spans="1:40" s="19" customFormat="1" ht="49.5" customHeight="1">
      <c r="A24" s="97"/>
      <c r="B24" s="98"/>
      <c r="C24" s="98"/>
      <c r="D24" s="108"/>
      <c r="E24" s="109"/>
      <c r="F24" s="109"/>
      <c r="G24" s="110"/>
      <c r="H24" s="108"/>
      <c r="I24" s="109"/>
      <c r="J24" s="109"/>
      <c r="K24" s="110"/>
      <c r="L24" s="20"/>
      <c r="M24" s="106"/>
      <c r="N24" s="106"/>
      <c r="O24" s="106"/>
      <c r="P24" s="106"/>
      <c r="Q24" s="71"/>
      <c r="R24" s="103"/>
      <c r="S24" s="104"/>
      <c r="T24" s="104"/>
      <c r="U24" s="105"/>
      <c r="V24" s="107"/>
      <c r="W24" s="107"/>
      <c r="X24" s="107"/>
      <c r="Y24" s="107"/>
      <c r="Z24" s="73"/>
      <c r="AA24" s="112"/>
      <c r="AB24" s="112"/>
      <c r="AC24" s="112"/>
      <c r="AD24" s="113"/>
      <c r="AE24" s="18" t="s">
        <v>57</v>
      </c>
      <c r="AF24" s="43" t="s">
        <v>7</v>
      </c>
      <c r="AG24" s="47"/>
      <c r="AH24" s="50">
        <v>110768</v>
      </c>
      <c r="AI24" s="52">
        <v>255.36</v>
      </c>
      <c r="AJ24" s="52">
        <f>295.53/8</f>
        <v>36.941249999999997</v>
      </c>
      <c r="AK24" s="45">
        <f>350000/1100</f>
        <v>318.18181818181819</v>
      </c>
      <c r="AL24" s="18" t="s">
        <v>58</v>
      </c>
      <c r="AM24" s="18"/>
      <c r="AN24" s="18"/>
    </row>
    <row r="25" spans="1:40" s="19" customFormat="1" ht="49.5" customHeight="1">
      <c r="A25" s="97"/>
      <c r="B25" s="98"/>
      <c r="C25" s="98"/>
      <c r="D25" s="108"/>
      <c r="E25" s="109"/>
      <c r="F25" s="109"/>
      <c r="G25" s="110"/>
      <c r="H25" s="108"/>
      <c r="I25" s="109"/>
      <c r="J25" s="109"/>
      <c r="K25" s="110"/>
      <c r="L25" s="20"/>
      <c r="M25" s="106"/>
      <c r="N25" s="106"/>
      <c r="O25" s="106"/>
      <c r="P25" s="106"/>
      <c r="Q25" s="71"/>
      <c r="R25" s="111"/>
      <c r="S25" s="111"/>
      <c r="T25" s="111"/>
      <c r="U25" s="111"/>
      <c r="V25" s="111"/>
      <c r="W25" s="111"/>
      <c r="X25" s="111"/>
      <c r="Y25" s="111"/>
      <c r="Z25" s="73"/>
      <c r="AA25" s="95"/>
      <c r="AB25" s="95"/>
      <c r="AC25" s="95"/>
      <c r="AD25" s="96"/>
      <c r="AE25" s="18"/>
      <c r="AF25" s="43" t="s">
        <v>61</v>
      </c>
      <c r="AG25" s="43"/>
      <c r="AH25" s="50">
        <v>126274</v>
      </c>
      <c r="AI25" s="52">
        <v>150.18</v>
      </c>
      <c r="AJ25" s="52">
        <v>150.18</v>
      </c>
      <c r="AK25" s="45">
        <f>94500*140%/1100</f>
        <v>120.27272727272727</v>
      </c>
      <c r="AL25" s="18"/>
      <c r="AM25" s="18"/>
      <c r="AN25" s="18"/>
    </row>
    <row r="26" spans="1:40" s="19" customFormat="1" ht="49.5" customHeight="1">
      <c r="A26" s="97"/>
      <c r="B26" s="98"/>
      <c r="C26" s="98"/>
      <c r="D26" s="99"/>
      <c r="E26" s="100"/>
      <c r="F26" s="100"/>
      <c r="G26" s="101"/>
      <c r="H26" s="99"/>
      <c r="I26" s="100"/>
      <c r="J26" s="100"/>
      <c r="K26" s="101"/>
      <c r="L26" s="20"/>
      <c r="M26" s="106"/>
      <c r="N26" s="106"/>
      <c r="O26" s="106"/>
      <c r="P26" s="106"/>
      <c r="Q26" s="71"/>
      <c r="R26" s="103"/>
      <c r="S26" s="104"/>
      <c r="T26" s="104"/>
      <c r="U26" s="105"/>
      <c r="V26" s="107"/>
      <c r="W26" s="107"/>
      <c r="X26" s="107"/>
      <c r="Y26" s="107"/>
      <c r="Z26" s="73"/>
      <c r="AA26" s="95"/>
      <c r="AB26" s="95"/>
      <c r="AC26" s="95"/>
      <c r="AD26" s="96"/>
      <c r="AE26" s="18"/>
      <c r="AF26" s="43" t="s">
        <v>59</v>
      </c>
      <c r="AG26" s="43"/>
      <c r="AH26" s="50">
        <v>142232</v>
      </c>
      <c r="AI26" s="52">
        <f>120.27</f>
        <v>120.27</v>
      </c>
      <c r="AJ26" s="52">
        <f>120.27</f>
        <v>120.27</v>
      </c>
      <c r="AK26" s="45"/>
      <c r="AL26" s="18"/>
      <c r="AM26" s="18"/>
      <c r="AN26" s="18"/>
    </row>
    <row r="27" spans="1:40" s="19" customFormat="1" ht="49.5" customHeight="1">
      <c r="A27" s="97"/>
      <c r="B27" s="98"/>
      <c r="C27" s="98"/>
      <c r="D27" s="99"/>
      <c r="E27" s="100"/>
      <c r="F27" s="100"/>
      <c r="G27" s="101"/>
      <c r="H27" s="99"/>
      <c r="I27" s="100"/>
      <c r="J27" s="100"/>
      <c r="K27" s="101"/>
      <c r="L27" s="20"/>
      <c r="M27" s="106"/>
      <c r="N27" s="106"/>
      <c r="O27" s="106"/>
      <c r="P27" s="106"/>
      <c r="Q27" s="71"/>
      <c r="R27" s="103"/>
      <c r="S27" s="104"/>
      <c r="T27" s="104"/>
      <c r="U27" s="105"/>
      <c r="V27" s="102"/>
      <c r="W27" s="102"/>
      <c r="X27" s="102"/>
      <c r="Y27" s="102"/>
      <c r="Z27" s="73"/>
      <c r="AA27" s="95"/>
      <c r="AB27" s="95"/>
      <c r="AC27" s="95"/>
      <c r="AD27" s="96"/>
      <c r="AE27" s="18"/>
      <c r="AF27" s="19" t="s">
        <v>62</v>
      </c>
      <c r="AH27" s="50">
        <v>108479</v>
      </c>
      <c r="AI27" s="52">
        <v>29.55</v>
      </c>
      <c r="AJ27" s="52">
        <f>AI27</f>
        <v>29.55</v>
      </c>
      <c r="AK27" s="18">
        <v>120.27</v>
      </c>
      <c r="AL27" s="18"/>
      <c r="AM27" s="18"/>
      <c r="AN27" s="18"/>
    </row>
    <row r="28" spans="1:40" s="19" customFormat="1" ht="49.5" customHeight="1">
      <c r="A28" s="97"/>
      <c r="B28" s="98"/>
      <c r="C28" s="98"/>
      <c r="D28" s="99"/>
      <c r="E28" s="100"/>
      <c r="F28" s="100"/>
      <c r="G28" s="101"/>
      <c r="H28" s="99"/>
      <c r="I28" s="100"/>
      <c r="J28" s="100"/>
      <c r="K28" s="101"/>
      <c r="L28" s="20"/>
      <c r="M28" s="102"/>
      <c r="N28" s="102"/>
      <c r="O28" s="102"/>
      <c r="P28" s="102"/>
      <c r="Q28" s="71"/>
      <c r="R28" s="103"/>
      <c r="S28" s="104"/>
      <c r="T28" s="104"/>
      <c r="U28" s="105"/>
      <c r="V28" s="102"/>
      <c r="W28" s="102"/>
      <c r="X28" s="102"/>
      <c r="Y28" s="102"/>
      <c r="Z28" s="72"/>
      <c r="AA28" s="95"/>
      <c r="AB28" s="95"/>
      <c r="AC28" s="95"/>
      <c r="AD28" s="96"/>
      <c r="AE28" s="18"/>
      <c r="AF28" s="18"/>
      <c r="AG28" s="18"/>
      <c r="AH28" s="50">
        <v>15000</v>
      </c>
      <c r="AI28" s="52">
        <f>15000/1100</f>
        <v>13.636363636363637</v>
      </c>
      <c r="AJ28" s="52">
        <f>15000/1100</f>
        <v>13.636363636363637</v>
      </c>
      <c r="AK28" s="18"/>
      <c r="AL28" s="18"/>
      <c r="AM28" s="18"/>
      <c r="AN28" s="18"/>
    </row>
    <row r="29" spans="1:40" s="19" customFormat="1" ht="49.5" customHeight="1">
      <c r="A29" s="81" t="s">
        <v>60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3"/>
      <c r="Z29" s="67">
        <f>SUM(Z20:Z28)</f>
        <v>0</v>
      </c>
      <c r="AA29" s="84"/>
      <c r="AB29" s="84"/>
      <c r="AC29" s="84"/>
      <c r="AD29" s="85"/>
      <c r="AE29" s="18" t="s">
        <v>57</v>
      </c>
      <c r="AF29" s="1"/>
      <c r="AG29" s="1"/>
      <c r="AH29" s="1"/>
      <c r="AI29" s="1"/>
      <c r="AJ29" s="1"/>
      <c r="AK29" s="1"/>
      <c r="AL29" s="1"/>
      <c r="AM29" s="18"/>
      <c r="AN29" s="18"/>
    </row>
    <row r="30" spans="1:40" ht="42.6" customHeight="1">
      <c r="A30" s="86" t="str">
        <f>"Exchange Rate = \"&amp;AF18&amp;"/$"</f>
        <v>Exchange Rate = \1511.26/$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8"/>
    </row>
    <row r="31" spans="1:40" ht="24" customHeight="1">
      <c r="A31" s="89" t="s">
        <v>70</v>
      </c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1"/>
    </row>
    <row r="32" spans="1:40" ht="24" customHeight="1" thickBot="1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4"/>
    </row>
  </sheetData>
  <mergeCells count="97">
    <mergeCell ref="A7:L9"/>
    <mergeCell ref="AA7:AD7"/>
    <mergeCell ref="AA8:AD8"/>
    <mergeCell ref="AA9:AD9"/>
    <mergeCell ref="A1:AD1"/>
    <mergeCell ref="A2:AD2"/>
    <mergeCell ref="A3:AD3"/>
    <mergeCell ref="A5:AD5"/>
    <mergeCell ref="O6:AD6"/>
    <mergeCell ref="A12:E12"/>
    <mergeCell ref="F12:M12"/>
    <mergeCell ref="N12:V12"/>
    <mergeCell ref="A13:E13"/>
    <mergeCell ref="F13:M13"/>
    <mergeCell ref="N13:V13"/>
    <mergeCell ref="A14:E14"/>
    <mergeCell ref="F14:M14"/>
    <mergeCell ref="N14:V14"/>
    <mergeCell ref="A15:E15"/>
    <mergeCell ref="F15:M15"/>
    <mergeCell ref="N15:V15"/>
    <mergeCell ref="AA17:AD17"/>
    <mergeCell ref="A18:C18"/>
    <mergeCell ref="D18:G18"/>
    <mergeCell ref="H18:K18"/>
    <mergeCell ref="M18:P18"/>
    <mergeCell ref="R18:U18"/>
    <mergeCell ref="V18:Y18"/>
    <mergeCell ref="AA18:AD18"/>
    <mergeCell ref="A19:AD19"/>
    <mergeCell ref="A20:C20"/>
    <mergeCell ref="D20:G20"/>
    <mergeCell ref="H20:K20"/>
    <mergeCell ref="M20:P20"/>
    <mergeCell ref="R20:U20"/>
    <mergeCell ref="V20:Y20"/>
    <mergeCell ref="AA20:AD20"/>
    <mergeCell ref="AA21:AD21"/>
    <mergeCell ref="A22:C22"/>
    <mergeCell ref="D22:G22"/>
    <mergeCell ref="H22:K22"/>
    <mergeCell ref="M22:P22"/>
    <mergeCell ref="R22:U22"/>
    <mergeCell ref="V22:Y22"/>
    <mergeCell ref="AA22:AD22"/>
    <mergeCell ref="A21:C21"/>
    <mergeCell ref="D21:G21"/>
    <mergeCell ref="H21:K21"/>
    <mergeCell ref="M21:P21"/>
    <mergeCell ref="R21:U21"/>
    <mergeCell ref="V21:Y21"/>
    <mergeCell ref="AA23:AD23"/>
    <mergeCell ref="A24:C24"/>
    <mergeCell ref="D24:G24"/>
    <mergeCell ref="H24:K24"/>
    <mergeCell ref="M24:P24"/>
    <mergeCell ref="R24:U24"/>
    <mergeCell ref="V24:Y24"/>
    <mergeCell ref="AA24:AD24"/>
    <mergeCell ref="A23:C23"/>
    <mergeCell ref="D23:G23"/>
    <mergeCell ref="H23:K23"/>
    <mergeCell ref="M23:P23"/>
    <mergeCell ref="R23:U23"/>
    <mergeCell ref="V23:Y23"/>
    <mergeCell ref="R27:U27"/>
    <mergeCell ref="V27:Y27"/>
    <mergeCell ref="AA25:AD25"/>
    <mergeCell ref="A26:C26"/>
    <mergeCell ref="D26:G26"/>
    <mergeCell ref="H26:K26"/>
    <mergeCell ref="M26:P26"/>
    <mergeCell ref="R26:U26"/>
    <mergeCell ref="V26:Y26"/>
    <mergeCell ref="AA26:AD26"/>
    <mergeCell ref="A25:C25"/>
    <mergeCell ref="D25:G25"/>
    <mergeCell ref="H25:K25"/>
    <mergeCell ref="M25:P25"/>
    <mergeCell ref="R25:U25"/>
    <mergeCell ref="V25:Y25"/>
    <mergeCell ref="A29:Y29"/>
    <mergeCell ref="AA29:AD29"/>
    <mergeCell ref="A30:AD30"/>
    <mergeCell ref="A31:AD32"/>
    <mergeCell ref="AA27:AD27"/>
    <mergeCell ref="A28:C28"/>
    <mergeCell ref="D28:G28"/>
    <mergeCell ref="H28:K28"/>
    <mergeCell ref="M28:P28"/>
    <mergeCell ref="R28:U28"/>
    <mergeCell ref="V28:Y28"/>
    <mergeCell ref="AA28:AD28"/>
    <mergeCell ref="A27:C27"/>
    <mergeCell ref="D27:G27"/>
    <mergeCell ref="H27:K27"/>
    <mergeCell ref="M27:P27"/>
  </mergeCells>
  <phoneticPr fontId="4" type="noConversion"/>
  <printOptions horizontalCentered="1" gridLinesSet="0"/>
  <pageMargins left="0.39370078740157483" right="0.39370078740157483" top="0.62992125984251968" bottom="3.937007874015748E-2" header="0.51181102362204722" footer="0.51181102362204722"/>
  <pageSetup paperSize="9" scale="43" orientation="portrait" r:id="rId1"/>
  <headerFooter alignWithMargins="0">
    <oddHeader>&amp;L&amp;"Calibri,굵게"&amp;16Hansol IONES&amp;"Calibri,보통"&amp;12
#2061 Anseong-daero Gosam-myeon  Anseong-si Gyeonggi-do, Korea (Zip 17505)
Tel : +82-31-238-7785 / Fax : +82-31-239-2577
E-mail:ahjo@hansol.com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34C5-1359-4D43-BFDF-20C0CEBD21B3}">
  <sheetPr codeName="Sheet4">
    <pageSetUpPr fitToPage="1"/>
  </sheetPr>
  <dimension ref="A1:AN32"/>
  <sheetViews>
    <sheetView showGridLines="0" tabSelected="1" view="pageBreakPreview" topLeftCell="A11" zoomScale="70" zoomScaleNormal="70" zoomScaleSheetLayoutView="70" zoomScalePageLayoutView="55" workbookViewId="0">
      <selection activeCell="AG9" sqref="AG9"/>
    </sheetView>
  </sheetViews>
  <sheetFormatPr defaultColWidth="4" defaultRowHeight="13.5" customHeight="1"/>
  <cols>
    <col min="1" max="1" width="4" style="1" customWidth="1"/>
    <col min="2" max="2" width="2.125" style="1" customWidth="1"/>
    <col min="3" max="3" width="4.875" style="1" customWidth="1"/>
    <col min="4" max="4" width="5.5" style="1" customWidth="1"/>
    <col min="5" max="5" width="10.5" style="1" customWidth="1"/>
    <col min="6" max="6" width="2" style="1" customWidth="1"/>
    <col min="7" max="7" width="2.5" style="1" customWidth="1"/>
    <col min="8" max="9" width="13.75" style="1" customWidth="1"/>
    <col min="10" max="10" width="8.875" style="1" customWidth="1"/>
    <col min="11" max="11" width="8.5" style="1" customWidth="1"/>
    <col min="12" max="12" width="6.75" style="8" customWidth="1"/>
    <col min="13" max="13" width="6.125" style="4" customWidth="1"/>
    <col min="14" max="15" width="2.625" style="4" customWidth="1"/>
    <col min="16" max="16" width="6.375" style="4" customWidth="1"/>
    <col min="17" max="17" width="16.25" style="4" bestFit="1" customWidth="1"/>
    <col min="18" max="20" width="4.125" style="4" customWidth="1"/>
    <col min="21" max="21" width="3.5" style="4" customWidth="1"/>
    <col min="22" max="24" width="2.625" style="4" customWidth="1"/>
    <col min="25" max="25" width="7.625" style="4" customWidth="1"/>
    <col min="26" max="26" width="20.875" style="4" bestFit="1" customWidth="1"/>
    <col min="27" max="29" width="5.75" style="1" customWidth="1"/>
    <col min="30" max="30" width="14.125" style="1" customWidth="1"/>
    <col min="31" max="31" width="22.5" style="1" customWidth="1"/>
    <col min="32" max="32" width="14.125" style="1" customWidth="1"/>
    <col min="33" max="33" width="13.75" style="1" bestFit="1" customWidth="1"/>
    <col min="34" max="35" width="14.125" style="1" customWidth="1"/>
    <col min="36" max="36" width="26.25" style="1" customWidth="1"/>
    <col min="37" max="40" width="22.5" style="1" customWidth="1"/>
    <col min="41" max="42" width="10.5" style="1" customWidth="1"/>
    <col min="43" max="16384" width="4" style="1"/>
  </cols>
  <sheetData>
    <row r="1" spans="1:39" ht="23.25" customHeight="1">
      <c r="A1" s="149"/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</row>
    <row r="2" spans="1:39" ht="16.5" customHeight="1">
      <c r="A2" s="150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</row>
    <row r="3" spans="1:39" ht="15" customHeight="1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</row>
    <row r="4" spans="1:39" ht="15" customHeight="1">
      <c r="B4" s="2"/>
      <c r="C4" s="3"/>
      <c r="D4" s="3"/>
      <c r="E4" s="3"/>
      <c r="F4" s="3"/>
      <c r="G4" s="3"/>
      <c r="H4" s="3"/>
      <c r="I4" s="3"/>
      <c r="L4" s="1"/>
    </row>
    <row r="5" spans="1:39" ht="31.5" customHeight="1">
      <c r="A5" s="151" t="s">
        <v>20</v>
      </c>
      <c r="B5" s="151"/>
      <c r="C5" s="151"/>
      <c r="D5" s="151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  <c r="AC5" s="151"/>
      <c r="AD5" s="151"/>
    </row>
    <row r="6" spans="1:39" ht="24.75" customHeight="1">
      <c r="J6" s="5"/>
      <c r="K6" s="6"/>
      <c r="L6" s="6"/>
      <c r="O6" s="152" t="s">
        <v>21</v>
      </c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</row>
    <row r="7" spans="1:39" ht="31.9" customHeight="1" thickBot="1">
      <c r="A7" s="144" t="s">
        <v>63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P7" s="25"/>
      <c r="Q7" s="25"/>
      <c r="R7" s="25"/>
      <c r="S7" s="25"/>
      <c r="T7" s="25"/>
      <c r="U7" s="25"/>
      <c r="V7" s="23"/>
      <c r="W7" s="22" t="s">
        <v>22</v>
      </c>
      <c r="X7" s="23"/>
      <c r="Y7" s="23"/>
      <c r="Z7" s="62"/>
      <c r="AA7" s="146" t="s">
        <v>23</v>
      </c>
      <c r="AB7" s="146"/>
      <c r="AC7" s="146"/>
      <c r="AD7" s="146"/>
    </row>
    <row r="8" spans="1:39" ht="31.9" customHeight="1" thickTop="1">
      <c r="A8" s="145"/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P8" s="26"/>
      <c r="Q8" s="26"/>
      <c r="R8" s="26"/>
      <c r="S8" s="26"/>
      <c r="T8" s="26"/>
      <c r="U8" s="26"/>
      <c r="V8" s="24"/>
      <c r="W8" s="24" t="s">
        <v>24</v>
      </c>
      <c r="X8" s="24"/>
      <c r="Y8" s="24"/>
      <c r="Z8" s="63"/>
      <c r="AA8" s="147" t="s">
        <v>97</v>
      </c>
      <c r="AB8" s="147"/>
      <c r="AC8" s="147"/>
      <c r="AD8" s="147"/>
    </row>
    <row r="9" spans="1:39" ht="31.9" customHeight="1">
      <c r="A9" s="145"/>
      <c r="B9" s="145"/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"/>
      <c r="N9" s="1"/>
      <c r="P9" s="26"/>
      <c r="Q9" s="26"/>
      <c r="R9" s="26"/>
      <c r="S9" s="26"/>
      <c r="T9" s="26"/>
      <c r="U9" s="26"/>
      <c r="V9" s="24"/>
      <c r="W9" s="24" t="s">
        <v>25</v>
      </c>
      <c r="X9" s="24"/>
      <c r="Y9" s="24"/>
      <c r="Z9" s="64"/>
      <c r="AA9" s="148">
        <f ca="1">TODAY()</f>
        <v>46181</v>
      </c>
      <c r="AB9" s="148"/>
      <c r="AC9" s="148"/>
      <c r="AD9" s="148"/>
    </row>
    <row r="10" spans="1:39" ht="5.25" customHeight="1">
      <c r="J10" s="7"/>
    </row>
    <row r="11" spans="1:39" s="9" customFormat="1" ht="11.25" customHeight="1" thickBot="1">
      <c r="C11" s="6"/>
      <c r="D11" s="6"/>
      <c r="E11" s="6"/>
      <c r="F11" s="6"/>
      <c r="G11" s="6"/>
      <c r="J11" s="10"/>
      <c r="L11" s="2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39" s="12" customFormat="1" ht="18" customHeight="1">
      <c r="A12" s="138" t="s">
        <v>26</v>
      </c>
      <c r="B12" s="139"/>
      <c r="C12" s="139"/>
      <c r="D12" s="139"/>
      <c r="E12" s="140"/>
      <c r="F12" s="141" t="s">
        <v>27</v>
      </c>
      <c r="G12" s="142"/>
      <c r="H12" s="142"/>
      <c r="I12" s="142"/>
      <c r="J12" s="142"/>
      <c r="K12" s="142"/>
      <c r="L12" s="142"/>
      <c r="M12" s="143"/>
      <c r="N12" s="138" t="s">
        <v>28</v>
      </c>
      <c r="O12" s="139"/>
      <c r="P12" s="139"/>
      <c r="Q12" s="139"/>
      <c r="R12" s="139"/>
      <c r="S12" s="139"/>
      <c r="T12" s="139"/>
      <c r="U12" s="139"/>
      <c r="V12" s="140"/>
      <c r="W12" s="39" t="s">
        <v>29</v>
      </c>
      <c r="X12" s="33"/>
      <c r="Y12" s="33"/>
      <c r="Z12" s="33"/>
      <c r="AA12" s="33"/>
      <c r="AB12" s="33"/>
      <c r="AC12" s="33"/>
      <c r="AD12" s="34"/>
    </row>
    <row r="13" spans="1:39" s="13" customFormat="1" ht="18" customHeight="1">
      <c r="A13" s="126" t="s">
        <v>30</v>
      </c>
      <c r="B13" s="127"/>
      <c r="C13" s="127"/>
      <c r="D13" s="127"/>
      <c r="E13" s="128"/>
      <c r="F13" s="129" t="s">
        <v>31</v>
      </c>
      <c r="G13" s="130"/>
      <c r="H13" s="130"/>
      <c r="I13" s="130"/>
      <c r="J13" s="130"/>
      <c r="K13" s="130"/>
      <c r="L13" s="130"/>
      <c r="M13" s="131"/>
      <c r="N13" s="126" t="s">
        <v>32</v>
      </c>
      <c r="O13" s="127"/>
      <c r="P13" s="127"/>
      <c r="Q13" s="127"/>
      <c r="R13" s="127"/>
      <c r="S13" s="127"/>
      <c r="T13" s="127"/>
      <c r="U13" s="127"/>
      <c r="V13" s="128"/>
      <c r="W13" s="40" t="s">
        <v>33</v>
      </c>
      <c r="X13" s="35"/>
      <c r="Y13" s="35"/>
      <c r="Z13" s="35"/>
      <c r="AA13" s="35"/>
      <c r="AB13" s="35"/>
      <c r="AC13" s="35"/>
      <c r="AD13" s="36"/>
    </row>
    <row r="14" spans="1:39" s="13" customFormat="1" ht="18" customHeight="1">
      <c r="A14" s="126" t="s">
        <v>34</v>
      </c>
      <c r="B14" s="127"/>
      <c r="C14" s="127"/>
      <c r="D14" s="127"/>
      <c r="E14" s="128"/>
      <c r="F14" s="129" t="s">
        <v>35</v>
      </c>
      <c r="G14" s="130"/>
      <c r="H14" s="130"/>
      <c r="I14" s="130"/>
      <c r="J14" s="130"/>
      <c r="K14" s="130"/>
      <c r="L14" s="130"/>
      <c r="M14" s="131"/>
      <c r="N14" s="126" t="s">
        <v>36</v>
      </c>
      <c r="O14" s="127"/>
      <c r="P14" s="127"/>
      <c r="Q14" s="127"/>
      <c r="R14" s="127"/>
      <c r="S14" s="127"/>
      <c r="T14" s="127"/>
      <c r="U14" s="127"/>
      <c r="V14" s="128"/>
      <c r="W14" s="40" t="s">
        <v>37</v>
      </c>
      <c r="X14" s="35"/>
      <c r="Y14" s="35"/>
      <c r="Z14" s="35"/>
      <c r="AA14" s="35"/>
      <c r="AB14" s="35"/>
      <c r="AC14" s="35"/>
      <c r="AD14" s="36"/>
      <c r="AF14" s="17" t="s">
        <v>38</v>
      </c>
      <c r="AG14" s="17" t="s">
        <v>39</v>
      </c>
      <c r="AH14" s="17"/>
      <c r="AI14" s="17"/>
      <c r="AJ14" s="17"/>
      <c r="AK14" s="17"/>
    </row>
    <row r="15" spans="1:39" s="13" customFormat="1" ht="18.75" customHeight="1" thickBot="1">
      <c r="A15" s="132" t="s">
        <v>40</v>
      </c>
      <c r="B15" s="133"/>
      <c r="C15" s="133"/>
      <c r="D15" s="133"/>
      <c r="E15" s="134"/>
      <c r="F15" s="135" t="s">
        <v>41</v>
      </c>
      <c r="G15" s="136"/>
      <c r="H15" s="136"/>
      <c r="I15" s="136"/>
      <c r="J15" s="136"/>
      <c r="K15" s="136"/>
      <c r="L15" s="136"/>
      <c r="M15" s="137"/>
      <c r="N15" s="132" t="s">
        <v>42</v>
      </c>
      <c r="O15" s="133"/>
      <c r="P15" s="133"/>
      <c r="Q15" s="133"/>
      <c r="R15" s="133"/>
      <c r="S15" s="133"/>
      <c r="T15" s="133"/>
      <c r="U15" s="133"/>
      <c r="V15" s="134"/>
      <c r="W15" s="41" t="s">
        <v>43</v>
      </c>
      <c r="X15" s="37"/>
      <c r="Y15" s="37"/>
      <c r="Z15" s="37"/>
      <c r="AA15" s="37"/>
      <c r="AB15" s="37"/>
      <c r="AC15" s="37"/>
      <c r="AD15" s="38"/>
      <c r="AF15" s="27">
        <v>261</v>
      </c>
      <c r="AG15" s="27">
        <v>225</v>
      </c>
      <c r="AH15" s="27"/>
      <c r="AI15" s="27"/>
      <c r="AJ15" s="27"/>
      <c r="AK15" s="27"/>
      <c r="AM15" s="42">
        <f>AG15*2</f>
        <v>450</v>
      </c>
    </row>
    <row r="16" spans="1:39" s="30" customFormat="1" ht="49.9" customHeight="1" thickBot="1">
      <c r="A16" s="28" t="s">
        <v>44</v>
      </c>
      <c r="B16" s="28"/>
      <c r="C16" s="28"/>
      <c r="D16" s="28"/>
      <c r="E16" s="28"/>
      <c r="F16" s="29"/>
      <c r="G16" s="29"/>
      <c r="H16" s="29"/>
      <c r="I16" s="29"/>
      <c r="J16" s="29"/>
      <c r="L16" s="31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 t="s">
        <v>45</v>
      </c>
      <c r="AL16" s="46">
        <f>AG15*1</f>
        <v>225</v>
      </c>
    </row>
    <row r="17" spans="1:40" s="13" customFormat="1" ht="15.75" customHeight="1" thickBot="1">
      <c r="A17" s="14"/>
      <c r="B17" s="14"/>
      <c r="C17" s="14"/>
      <c r="D17" s="14"/>
      <c r="E17" s="14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66"/>
      <c r="AA17" s="117"/>
      <c r="AB17" s="117"/>
      <c r="AC17" s="117"/>
      <c r="AD17" s="117"/>
      <c r="AF17" s="13" t="s">
        <v>46</v>
      </c>
    </row>
    <row r="18" spans="1:40" s="16" customFormat="1" ht="51.75">
      <c r="A18" s="118" t="s">
        <v>47</v>
      </c>
      <c r="B18" s="119"/>
      <c r="C18" s="120"/>
      <c r="D18" s="121" t="s">
        <v>48</v>
      </c>
      <c r="E18" s="119"/>
      <c r="F18" s="119"/>
      <c r="G18" s="120"/>
      <c r="H18" s="121" t="s">
        <v>49</v>
      </c>
      <c r="I18" s="119"/>
      <c r="J18" s="119"/>
      <c r="K18" s="120"/>
      <c r="L18" s="70" t="s">
        <v>50</v>
      </c>
      <c r="M18" s="122" t="s">
        <v>65</v>
      </c>
      <c r="N18" s="123"/>
      <c r="O18" s="123"/>
      <c r="P18" s="124"/>
      <c r="Q18" s="48" t="s">
        <v>51</v>
      </c>
      <c r="R18" s="122" t="s">
        <v>52</v>
      </c>
      <c r="S18" s="123"/>
      <c r="T18" s="123"/>
      <c r="U18" s="124"/>
      <c r="V18" s="122" t="s">
        <v>53</v>
      </c>
      <c r="W18" s="123"/>
      <c r="X18" s="123"/>
      <c r="Y18" s="124"/>
      <c r="Z18" s="65" t="s">
        <v>54</v>
      </c>
      <c r="AA18" s="119" t="s">
        <v>55</v>
      </c>
      <c r="AB18" s="119"/>
      <c r="AC18" s="119"/>
      <c r="AD18" s="125"/>
      <c r="AF18" s="16">
        <v>1511.26</v>
      </c>
      <c r="AH18" s="16">
        <v>1434</v>
      </c>
      <c r="AJ18" s="16">
        <f>81.82/8</f>
        <v>10.227499999999999</v>
      </c>
    </row>
    <row r="19" spans="1:40" s="16" customFormat="1" ht="52.15" customHeight="1">
      <c r="A19" s="114" t="s">
        <v>96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6"/>
      <c r="AE19" s="68"/>
      <c r="AF19" s="69"/>
      <c r="AG19" s="61" t="s">
        <v>56</v>
      </c>
      <c r="AH19" s="44" t="s">
        <v>8</v>
      </c>
      <c r="AI19" s="49" t="s">
        <v>6</v>
      </c>
      <c r="AJ19" s="59"/>
      <c r="AL19" s="18"/>
    </row>
    <row r="20" spans="1:40" s="19" customFormat="1" ht="49.5" customHeight="1">
      <c r="A20" s="97">
        <v>1</v>
      </c>
      <c r="B20" s="98"/>
      <c r="C20" s="98"/>
      <c r="D20" s="99" t="s">
        <v>3</v>
      </c>
      <c r="E20" s="100"/>
      <c r="F20" s="100"/>
      <c r="G20" s="101"/>
      <c r="H20" s="99" t="s">
        <v>4</v>
      </c>
      <c r="I20" s="100"/>
      <c r="J20" s="100"/>
      <c r="K20" s="101"/>
      <c r="L20" s="20">
        <v>1</v>
      </c>
      <c r="M20" s="106"/>
      <c r="N20" s="106"/>
      <c r="O20" s="106"/>
      <c r="P20" s="106"/>
      <c r="Q20" s="71"/>
      <c r="R20" s="111"/>
      <c r="S20" s="111"/>
      <c r="T20" s="111"/>
      <c r="U20" s="111"/>
      <c r="V20" s="111"/>
      <c r="W20" s="111"/>
      <c r="X20" s="111"/>
      <c r="Y20" s="111"/>
      <c r="Z20" s="73"/>
      <c r="AA20" s="95"/>
      <c r="AB20" s="95"/>
      <c r="AC20" s="95"/>
      <c r="AD20" s="96"/>
      <c r="AE20" s="18" t="s">
        <v>57</v>
      </c>
      <c r="AF20" s="43" t="s">
        <v>3</v>
      </c>
      <c r="AG20" s="60">
        <v>7441.11</v>
      </c>
      <c r="AH20" s="50">
        <v>143295</v>
      </c>
      <c r="AI20" s="51">
        <v>239.34</v>
      </c>
      <c r="AJ20" s="51">
        <v>239.34</v>
      </c>
      <c r="AL20" s="18"/>
      <c r="AM20" s="18"/>
      <c r="AN20" s="18"/>
    </row>
    <row r="21" spans="1:40" s="19" customFormat="1" ht="49.5" customHeight="1">
      <c r="A21" s="97"/>
      <c r="B21" s="98"/>
      <c r="C21" s="98"/>
      <c r="D21" s="99"/>
      <c r="E21" s="100"/>
      <c r="F21" s="100"/>
      <c r="G21" s="101"/>
      <c r="H21" s="99"/>
      <c r="I21" s="100"/>
      <c r="J21" s="100"/>
      <c r="K21" s="101"/>
      <c r="L21" s="20"/>
      <c r="M21" s="106"/>
      <c r="N21" s="106"/>
      <c r="O21" s="106"/>
      <c r="P21" s="106"/>
      <c r="Q21" s="71"/>
      <c r="R21" s="111"/>
      <c r="S21" s="111"/>
      <c r="T21" s="111"/>
      <c r="U21" s="111"/>
      <c r="V21" s="111"/>
      <c r="W21" s="111"/>
      <c r="X21" s="111"/>
      <c r="Y21" s="111"/>
      <c r="Z21" s="73"/>
      <c r="AA21" s="95"/>
      <c r="AB21" s="95"/>
      <c r="AC21" s="95"/>
      <c r="AD21" s="96"/>
      <c r="AE21" s="18" t="s">
        <v>57</v>
      </c>
      <c r="AF21" s="43" t="s">
        <v>1</v>
      </c>
      <c r="AG21" s="18">
        <v>3396.05</v>
      </c>
      <c r="AH21" s="50">
        <v>117422</v>
      </c>
      <c r="AI21" s="51">
        <v>174.23</v>
      </c>
      <c r="AJ21" s="52">
        <v>219</v>
      </c>
      <c r="AK21" s="60"/>
      <c r="AL21" s="18"/>
      <c r="AM21" s="18"/>
      <c r="AN21" s="18"/>
    </row>
    <row r="22" spans="1:40" s="19" customFormat="1" ht="49.5" customHeight="1">
      <c r="A22" s="97"/>
      <c r="B22" s="98"/>
      <c r="C22" s="98"/>
      <c r="D22" s="99"/>
      <c r="E22" s="100"/>
      <c r="F22" s="100"/>
      <c r="G22" s="101"/>
      <c r="H22" s="99"/>
      <c r="I22" s="100"/>
      <c r="J22" s="100"/>
      <c r="K22" s="101"/>
      <c r="L22" s="20"/>
      <c r="M22" s="106"/>
      <c r="N22" s="106"/>
      <c r="O22" s="106"/>
      <c r="P22" s="106"/>
      <c r="Q22" s="71"/>
      <c r="R22" s="111"/>
      <c r="S22" s="111"/>
      <c r="T22" s="111"/>
      <c r="U22" s="111"/>
      <c r="V22" s="111"/>
      <c r="W22" s="111"/>
      <c r="X22" s="111"/>
      <c r="Y22" s="111"/>
      <c r="Z22" s="73"/>
      <c r="AA22" s="95"/>
      <c r="AB22" s="95"/>
      <c r="AC22" s="95"/>
      <c r="AD22" s="96"/>
      <c r="AE22" s="18" t="s">
        <v>57</v>
      </c>
      <c r="AF22" s="43" t="s">
        <v>2</v>
      </c>
      <c r="AG22" s="18">
        <v>2810.44</v>
      </c>
      <c r="AH22" s="50">
        <v>97397</v>
      </c>
      <c r="AI22" s="52">
        <v>219</v>
      </c>
      <c r="AJ22" s="52">
        <v>174.2294976076555</v>
      </c>
      <c r="AK22" s="60"/>
      <c r="AL22" s="18"/>
      <c r="AM22" s="18"/>
      <c r="AN22" s="18"/>
    </row>
    <row r="23" spans="1:40" s="19" customFormat="1" ht="52.15" customHeight="1">
      <c r="A23" s="97"/>
      <c r="B23" s="98"/>
      <c r="C23" s="98"/>
      <c r="D23" s="99"/>
      <c r="E23" s="100"/>
      <c r="F23" s="100"/>
      <c r="G23" s="101"/>
      <c r="H23" s="99"/>
      <c r="I23" s="100"/>
      <c r="J23" s="100"/>
      <c r="K23" s="101"/>
      <c r="L23" s="20"/>
      <c r="M23" s="106"/>
      <c r="N23" s="106"/>
      <c r="O23" s="106"/>
      <c r="P23" s="106"/>
      <c r="Q23" s="71"/>
      <c r="R23" s="111"/>
      <c r="S23" s="111"/>
      <c r="T23" s="111"/>
      <c r="U23" s="111"/>
      <c r="V23" s="111"/>
      <c r="W23" s="111"/>
      <c r="X23" s="111"/>
      <c r="Y23" s="111"/>
      <c r="Z23" s="73"/>
      <c r="AA23" s="95"/>
      <c r="AB23" s="95"/>
      <c r="AC23" s="95"/>
      <c r="AD23" s="96"/>
      <c r="AE23" s="18" t="s">
        <v>57</v>
      </c>
      <c r="AF23" s="43" t="s">
        <v>0</v>
      </c>
      <c r="AG23" s="18">
        <v>4014.53</v>
      </c>
      <c r="AH23" s="50">
        <v>143758</v>
      </c>
      <c r="AI23" s="52">
        <v>219</v>
      </c>
      <c r="AJ23" s="52">
        <v>219</v>
      </c>
      <c r="AK23" s="60"/>
      <c r="AL23" s="18"/>
      <c r="AM23" s="18"/>
      <c r="AN23" s="18"/>
    </row>
    <row r="24" spans="1:40" s="19" customFormat="1" ht="49.5" customHeight="1">
      <c r="A24" s="97"/>
      <c r="B24" s="98"/>
      <c r="C24" s="98"/>
      <c r="D24" s="108"/>
      <c r="E24" s="109"/>
      <c r="F24" s="109"/>
      <c r="G24" s="110"/>
      <c r="H24" s="108"/>
      <c r="I24" s="109"/>
      <c r="J24" s="109"/>
      <c r="K24" s="110"/>
      <c r="L24" s="20"/>
      <c r="M24" s="106"/>
      <c r="N24" s="106"/>
      <c r="O24" s="106"/>
      <c r="P24" s="106"/>
      <c r="Q24" s="71"/>
      <c r="R24" s="103"/>
      <c r="S24" s="104"/>
      <c r="T24" s="104"/>
      <c r="U24" s="105"/>
      <c r="V24" s="107"/>
      <c r="W24" s="107"/>
      <c r="X24" s="107"/>
      <c r="Y24" s="107"/>
      <c r="Z24" s="73"/>
      <c r="AA24" s="112"/>
      <c r="AB24" s="112"/>
      <c r="AC24" s="112"/>
      <c r="AD24" s="113"/>
      <c r="AE24" s="18" t="s">
        <v>57</v>
      </c>
      <c r="AF24" s="43" t="s">
        <v>7</v>
      </c>
      <c r="AG24" s="47"/>
      <c r="AH24" s="50">
        <v>110768</v>
      </c>
      <c r="AI24" s="52">
        <v>255.36</v>
      </c>
      <c r="AJ24" s="52">
        <f>295.53/8</f>
        <v>36.941249999999997</v>
      </c>
      <c r="AK24" s="45">
        <f>350000/1100</f>
        <v>318.18181818181819</v>
      </c>
      <c r="AL24" s="18" t="s">
        <v>58</v>
      </c>
      <c r="AM24" s="18"/>
      <c r="AN24" s="18"/>
    </row>
    <row r="25" spans="1:40" s="19" customFormat="1" ht="49.5" customHeight="1">
      <c r="A25" s="97"/>
      <c r="B25" s="98"/>
      <c r="C25" s="98"/>
      <c r="D25" s="108"/>
      <c r="E25" s="109"/>
      <c r="F25" s="109"/>
      <c r="G25" s="110"/>
      <c r="H25" s="108"/>
      <c r="I25" s="109"/>
      <c r="J25" s="109"/>
      <c r="K25" s="110"/>
      <c r="L25" s="20"/>
      <c r="M25" s="106"/>
      <c r="N25" s="106"/>
      <c r="O25" s="106"/>
      <c r="P25" s="106"/>
      <c r="Q25" s="71"/>
      <c r="R25" s="111"/>
      <c r="S25" s="111"/>
      <c r="T25" s="111"/>
      <c r="U25" s="111"/>
      <c r="V25" s="111"/>
      <c r="W25" s="111"/>
      <c r="X25" s="111"/>
      <c r="Y25" s="111"/>
      <c r="Z25" s="73"/>
      <c r="AA25" s="95"/>
      <c r="AB25" s="95"/>
      <c r="AC25" s="95"/>
      <c r="AD25" s="96"/>
      <c r="AE25" s="18"/>
      <c r="AF25" s="43" t="s">
        <v>61</v>
      </c>
      <c r="AG25" s="43"/>
      <c r="AH25" s="50">
        <v>126274</v>
      </c>
      <c r="AI25" s="52">
        <v>150.18</v>
      </c>
      <c r="AJ25" s="52">
        <v>150.18</v>
      </c>
      <c r="AK25" s="45">
        <f>94500*140%/1100</f>
        <v>120.27272727272727</v>
      </c>
      <c r="AL25" s="18"/>
      <c r="AM25" s="18"/>
      <c r="AN25" s="18"/>
    </row>
    <row r="26" spans="1:40" s="19" customFormat="1" ht="49.5" customHeight="1">
      <c r="A26" s="97"/>
      <c r="B26" s="98"/>
      <c r="C26" s="98"/>
      <c r="D26" s="99"/>
      <c r="E26" s="100"/>
      <c r="F26" s="100"/>
      <c r="G26" s="101"/>
      <c r="H26" s="99"/>
      <c r="I26" s="100"/>
      <c r="J26" s="100"/>
      <c r="K26" s="101"/>
      <c r="L26" s="20"/>
      <c r="M26" s="106"/>
      <c r="N26" s="106"/>
      <c r="O26" s="106"/>
      <c r="P26" s="106"/>
      <c r="Q26" s="71"/>
      <c r="R26" s="103"/>
      <c r="S26" s="104"/>
      <c r="T26" s="104"/>
      <c r="U26" s="105"/>
      <c r="V26" s="107"/>
      <c r="W26" s="107"/>
      <c r="X26" s="107"/>
      <c r="Y26" s="107"/>
      <c r="Z26" s="73"/>
      <c r="AA26" s="95"/>
      <c r="AB26" s="95"/>
      <c r="AC26" s="95"/>
      <c r="AD26" s="96"/>
      <c r="AE26" s="18"/>
      <c r="AF26" s="43" t="s">
        <v>59</v>
      </c>
      <c r="AG26" s="43"/>
      <c r="AH26" s="50">
        <v>142232</v>
      </c>
      <c r="AI26" s="52">
        <f>120.27</f>
        <v>120.27</v>
      </c>
      <c r="AJ26" s="52">
        <f>120.27</f>
        <v>120.27</v>
      </c>
      <c r="AK26" s="45"/>
      <c r="AL26" s="18"/>
      <c r="AM26" s="18"/>
      <c r="AN26" s="18"/>
    </row>
    <row r="27" spans="1:40" s="19" customFormat="1" ht="49.5" customHeight="1">
      <c r="A27" s="97"/>
      <c r="B27" s="98"/>
      <c r="C27" s="98"/>
      <c r="D27" s="99"/>
      <c r="E27" s="100"/>
      <c r="F27" s="100"/>
      <c r="G27" s="101"/>
      <c r="H27" s="99"/>
      <c r="I27" s="100"/>
      <c r="J27" s="100"/>
      <c r="K27" s="101"/>
      <c r="L27" s="20"/>
      <c r="M27" s="106"/>
      <c r="N27" s="106"/>
      <c r="O27" s="106"/>
      <c r="P27" s="106"/>
      <c r="Q27" s="71"/>
      <c r="R27" s="103"/>
      <c r="S27" s="104"/>
      <c r="T27" s="104"/>
      <c r="U27" s="105"/>
      <c r="V27" s="102"/>
      <c r="W27" s="102"/>
      <c r="X27" s="102"/>
      <c r="Y27" s="102"/>
      <c r="Z27" s="73"/>
      <c r="AA27" s="95"/>
      <c r="AB27" s="95"/>
      <c r="AC27" s="95"/>
      <c r="AD27" s="96"/>
      <c r="AE27" s="18"/>
      <c r="AF27" s="19" t="s">
        <v>62</v>
      </c>
      <c r="AH27" s="50">
        <v>108479</v>
      </c>
      <c r="AI27" s="52">
        <v>29.55</v>
      </c>
      <c r="AJ27" s="52">
        <f>AI27</f>
        <v>29.55</v>
      </c>
      <c r="AK27" s="18">
        <v>120.27</v>
      </c>
      <c r="AL27" s="18"/>
      <c r="AM27" s="18"/>
      <c r="AN27" s="18"/>
    </row>
    <row r="28" spans="1:40" s="19" customFormat="1" ht="49.5" customHeight="1">
      <c r="A28" s="97"/>
      <c r="B28" s="98"/>
      <c r="C28" s="98"/>
      <c r="D28" s="99"/>
      <c r="E28" s="100"/>
      <c r="F28" s="100"/>
      <c r="G28" s="101"/>
      <c r="H28" s="99"/>
      <c r="I28" s="100"/>
      <c r="J28" s="100"/>
      <c r="K28" s="101"/>
      <c r="L28" s="20"/>
      <c r="M28" s="102"/>
      <c r="N28" s="102"/>
      <c r="O28" s="102"/>
      <c r="P28" s="102"/>
      <c r="Q28" s="71"/>
      <c r="R28" s="103"/>
      <c r="S28" s="104"/>
      <c r="T28" s="104"/>
      <c r="U28" s="105"/>
      <c r="V28" s="102"/>
      <c r="W28" s="102"/>
      <c r="X28" s="102"/>
      <c r="Y28" s="102"/>
      <c r="Z28" s="72"/>
      <c r="AA28" s="95"/>
      <c r="AB28" s="95"/>
      <c r="AC28" s="95"/>
      <c r="AD28" s="96"/>
      <c r="AE28" s="18"/>
      <c r="AF28" s="18"/>
      <c r="AG28" s="18"/>
      <c r="AH28" s="50">
        <v>15000</v>
      </c>
      <c r="AI28" s="52">
        <f>15000/1100</f>
        <v>13.636363636363637</v>
      </c>
      <c r="AJ28" s="52">
        <f>15000/1100</f>
        <v>13.636363636363637</v>
      </c>
      <c r="AK28" s="18"/>
      <c r="AL28" s="18"/>
      <c r="AM28" s="18"/>
      <c r="AN28" s="18"/>
    </row>
    <row r="29" spans="1:40" s="19" customFormat="1" ht="49.5" customHeight="1">
      <c r="A29" s="81" t="s">
        <v>60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3"/>
      <c r="Z29" s="67">
        <f>SUM(Z20:Z28)</f>
        <v>0</v>
      </c>
      <c r="AA29" s="84"/>
      <c r="AB29" s="84"/>
      <c r="AC29" s="84"/>
      <c r="AD29" s="85"/>
      <c r="AE29" s="18" t="s">
        <v>57</v>
      </c>
      <c r="AF29" s="1"/>
      <c r="AG29" s="1"/>
      <c r="AH29" s="1"/>
      <c r="AI29" s="1"/>
      <c r="AJ29" s="1"/>
      <c r="AK29" s="1"/>
      <c r="AL29" s="1"/>
      <c r="AM29" s="18"/>
      <c r="AN29" s="18"/>
    </row>
    <row r="30" spans="1:40" ht="42.6" customHeight="1">
      <c r="A30" s="86" t="str">
        <f>"Exchange Rate = \"&amp;AF18&amp;"/$"</f>
        <v>Exchange Rate = \1511.26/$</v>
      </c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8"/>
    </row>
    <row r="31" spans="1:40" ht="24" customHeight="1">
      <c r="A31" s="89" t="s">
        <v>70</v>
      </c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1"/>
    </row>
    <row r="32" spans="1:40" ht="24" customHeight="1" thickBot="1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4"/>
    </row>
  </sheetData>
  <mergeCells count="97">
    <mergeCell ref="A29:Y29"/>
    <mergeCell ref="AA29:AD29"/>
    <mergeCell ref="A30:AD30"/>
    <mergeCell ref="A31:AD32"/>
    <mergeCell ref="AA27:AD27"/>
    <mergeCell ref="A28:C28"/>
    <mergeCell ref="D28:G28"/>
    <mergeCell ref="H28:K28"/>
    <mergeCell ref="M28:P28"/>
    <mergeCell ref="R28:U28"/>
    <mergeCell ref="V28:Y28"/>
    <mergeCell ref="AA28:AD28"/>
    <mergeCell ref="A27:C27"/>
    <mergeCell ref="D27:G27"/>
    <mergeCell ref="H27:K27"/>
    <mergeCell ref="M27:P27"/>
    <mergeCell ref="R27:U27"/>
    <mergeCell ref="V27:Y27"/>
    <mergeCell ref="AA25:AD25"/>
    <mergeCell ref="A26:C26"/>
    <mergeCell ref="D26:G26"/>
    <mergeCell ref="H26:K26"/>
    <mergeCell ref="M26:P26"/>
    <mergeCell ref="R26:U26"/>
    <mergeCell ref="V26:Y26"/>
    <mergeCell ref="AA26:AD26"/>
    <mergeCell ref="A25:C25"/>
    <mergeCell ref="D25:G25"/>
    <mergeCell ref="H25:K25"/>
    <mergeCell ref="M25:P25"/>
    <mergeCell ref="R25:U25"/>
    <mergeCell ref="V25:Y25"/>
    <mergeCell ref="AA23:AD23"/>
    <mergeCell ref="A24:C24"/>
    <mergeCell ref="D24:G24"/>
    <mergeCell ref="H24:K24"/>
    <mergeCell ref="M24:P24"/>
    <mergeCell ref="R24:U24"/>
    <mergeCell ref="V24:Y24"/>
    <mergeCell ref="AA24:AD24"/>
    <mergeCell ref="A23:C23"/>
    <mergeCell ref="D23:G23"/>
    <mergeCell ref="H23:K23"/>
    <mergeCell ref="M23:P23"/>
    <mergeCell ref="R23:U23"/>
    <mergeCell ref="V23:Y23"/>
    <mergeCell ref="AA21:AD21"/>
    <mergeCell ref="A22:C22"/>
    <mergeCell ref="D22:G22"/>
    <mergeCell ref="H22:K22"/>
    <mergeCell ref="M22:P22"/>
    <mergeCell ref="R22:U22"/>
    <mergeCell ref="V22:Y22"/>
    <mergeCell ref="AA22:AD22"/>
    <mergeCell ref="A21:C21"/>
    <mergeCell ref="D21:G21"/>
    <mergeCell ref="H21:K21"/>
    <mergeCell ref="M21:P21"/>
    <mergeCell ref="R21:U21"/>
    <mergeCell ref="V21:Y21"/>
    <mergeCell ref="A19:AD19"/>
    <mergeCell ref="A20:C20"/>
    <mergeCell ref="D20:G20"/>
    <mergeCell ref="H20:K20"/>
    <mergeCell ref="M20:P20"/>
    <mergeCell ref="R20:U20"/>
    <mergeCell ref="V20:Y20"/>
    <mergeCell ref="AA20:AD20"/>
    <mergeCell ref="AA17:AD17"/>
    <mergeCell ref="A18:C18"/>
    <mergeCell ref="D18:G18"/>
    <mergeCell ref="H18:K18"/>
    <mergeCell ref="M18:P18"/>
    <mergeCell ref="R18:U18"/>
    <mergeCell ref="V18:Y18"/>
    <mergeCell ref="AA18:AD18"/>
    <mergeCell ref="A14:E14"/>
    <mergeCell ref="F14:M14"/>
    <mergeCell ref="N14:V14"/>
    <mergeCell ref="A15:E15"/>
    <mergeCell ref="F15:M15"/>
    <mergeCell ref="N15:V15"/>
    <mergeCell ref="A12:E12"/>
    <mergeCell ref="F12:M12"/>
    <mergeCell ref="N12:V12"/>
    <mergeCell ref="A13:E13"/>
    <mergeCell ref="F13:M13"/>
    <mergeCell ref="N13:V13"/>
    <mergeCell ref="A7:L9"/>
    <mergeCell ref="AA7:AD7"/>
    <mergeCell ref="AA8:AD8"/>
    <mergeCell ref="AA9:AD9"/>
    <mergeCell ref="A1:AD1"/>
    <mergeCell ref="A2:AD2"/>
    <mergeCell ref="A3:AD3"/>
    <mergeCell ref="A5:AD5"/>
    <mergeCell ref="O6:AD6"/>
  </mergeCells>
  <phoneticPr fontId="4" type="noConversion"/>
  <printOptions horizontalCentered="1" gridLinesSet="0"/>
  <pageMargins left="0.39370078740157483" right="0.39370078740157483" top="0.62992125984251968" bottom="3.937007874015748E-2" header="0.51181102362204722" footer="0.51181102362204722"/>
  <pageSetup paperSize="9" scale="43" orientation="portrait" r:id="rId1"/>
  <headerFooter alignWithMargins="0">
    <oddHeader>&amp;L&amp;"Calibri,굵게"&amp;16Hansol IONES&amp;"Calibri,보통"&amp;12
#2061 Anseong-daero Gosam-myeon  Anseong-si Gyeonggi-do, Korea (Zip 17505)
Tel : +82-31-238-7785 / Fax : +82-31-239-2577
E-mail:ahjo@hansol.com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Sheet3</vt:lpstr>
      <vt:lpstr>SYM3Y (2)</vt:lpstr>
      <vt:lpstr>SYM3Y (3)</vt:lpstr>
      <vt:lpstr>'SYM3Y (2)'!Print_Area</vt:lpstr>
      <vt:lpstr>'SYM3Y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NO12172682</dc:creator>
  <cp:lastModifiedBy>박혜근</cp:lastModifiedBy>
  <cp:lastPrinted>2026-06-02T05:28:31Z</cp:lastPrinted>
  <dcterms:created xsi:type="dcterms:W3CDTF">2022-08-04T12:26:23Z</dcterms:created>
  <dcterms:modified xsi:type="dcterms:W3CDTF">2026-06-08T06:30:37Z</dcterms:modified>
</cp:coreProperties>
</file>